
<file path=[Content_Types].xml><?xml version="1.0" encoding="utf-8"?>
<Types xmlns="http://schemas.openxmlformats.org/package/2006/content-type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ml.chartshap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0"/>
  <workbookPr hidePivotFieldList="1"/>
  <mc:AlternateContent xmlns:mc="http://schemas.openxmlformats.org/markup-compatibility/2006">
    <mc:Choice Requires="x15">
      <x15ac:absPath xmlns:x15ac="http://schemas.microsoft.com/office/spreadsheetml/2010/11/ac" url="/Users/elizabethpitts/Documents/Job Applications/Data Viz/Portfolio/Personal Spending/github/"/>
    </mc:Choice>
  </mc:AlternateContent>
  <xr:revisionPtr revIDLastSave="0" documentId="13_ncr:1_{4007FD26-91E7-454C-BCA1-EAF4A7D06C81}" xr6:coauthVersionLast="47" xr6:coauthVersionMax="47" xr10:uidLastSave="{00000000-0000-0000-0000-000000000000}"/>
  <bookViews>
    <workbookView xWindow="0" yWindow="500" windowWidth="33600" windowHeight="20500" activeTab="4" xr2:uid="{00000000-000D-0000-FFFF-FFFF00000000}"/>
  </bookViews>
  <sheets>
    <sheet name="Data Validation" sheetId="4" r:id="rId1"/>
    <sheet name="Transactions - Formulas" sheetId="9" r:id="rId2"/>
    <sheet name="Transactions - Values" sheetId="1" r:id="rId3"/>
    <sheet name="Analysis - Pivot Charts" sheetId="7" r:id="rId4"/>
    <sheet name="Dashboard" sheetId="3" r:id="rId5"/>
  </sheets>
  <definedNames>
    <definedName name="_xlnm._FilterDatabase" localSheetId="0" hidden="1">'Data Validation'!$B$1:$D$1</definedName>
    <definedName name="_xlnm._FilterDatabase" localSheetId="1" hidden="1">'Transactions - Formulas'!$A$1:$I$1</definedName>
    <definedName name="_xlnm._FilterDatabase" localSheetId="2" hidden="1">'Transactions - Values'!$A$1:$I$1</definedName>
    <definedName name="_xlchart.v5.0" hidden="1">'Analysis - Pivot Charts'!$A$29:$A$36</definedName>
    <definedName name="_xlchart.v5.1" hidden="1">'Analysis - Pivot Charts'!$B$28</definedName>
    <definedName name="_xlchart.v5.2" hidden="1">'Analysis - Pivot Charts'!$B$29:$B$36</definedName>
    <definedName name="Slicer_Category">#N/A</definedName>
    <definedName name="Slicer_Date">#N/A</definedName>
  </definedNames>
  <calcPr calcId="191029"/>
  <pivotCaches>
    <pivotCache cacheId="170" r:id="rId6"/>
  </pivotCaches>
  <extLs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4" i="7" l="1" a="1"/>
  <c r="H24" i="7" s="1"/>
  <c r="B14" i="7" a="1"/>
  <c r="B14" i="7" s="1"/>
  <c r="H2" i="9" a="1"/>
  <c r="H2" i="9" s="1"/>
  <c r="F251" i="9"/>
  <c r="F250" i="9"/>
  <c r="F249" i="9"/>
  <c r="F248" i="9"/>
  <c r="F247" i="9"/>
  <c r="F246" i="9"/>
  <c r="F245" i="9"/>
  <c r="F244" i="9"/>
  <c r="F243" i="9"/>
  <c r="F242" i="9"/>
  <c r="F241" i="9"/>
  <c r="F240" i="9"/>
  <c r="F239" i="9"/>
  <c r="F238" i="9"/>
  <c r="F237" i="9"/>
  <c r="F236" i="9"/>
  <c r="F235" i="9"/>
  <c r="F234" i="9"/>
  <c r="F233" i="9"/>
  <c r="F232" i="9"/>
  <c r="F231" i="9"/>
  <c r="F230" i="9"/>
  <c r="F229" i="9"/>
  <c r="F228" i="9"/>
  <c r="F227" i="9"/>
  <c r="F226" i="9"/>
  <c r="F225" i="9"/>
  <c r="F224" i="9"/>
  <c r="F223" i="9"/>
  <c r="F222" i="9"/>
  <c r="F221" i="9"/>
  <c r="F220" i="9"/>
  <c r="F219" i="9"/>
  <c r="F218" i="9"/>
  <c r="F217" i="9"/>
  <c r="F216" i="9"/>
  <c r="F215" i="9"/>
  <c r="F214" i="9"/>
  <c r="F213" i="9"/>
  <c r="F212" i="9"/>
  <c r="F211" i="9"/>
  <c r="F210" i="9"/>
  <c r="F209" i="9"/>
  <c r="F208" i="9"/>
  <c r="F207" i="9"/>
  <c r="F206" i="9"/>
  <c r="F205" i="9"/>
  <c r="F204" i="9"/>
  <c r="F203" i="9"/>
  <c r="F202" i="9"/>
  <c r="F201" i="9"/>
  <c r="F200" i="9"/>
  <c r="F199" i="9"/>
  <c r="F198" i="9"/>
  <c r="F197" i="9"/>
  <c r="F196" i="9"/>
  <c r="F195" i="9"/>
  <c r="F194" i="9"/>
  <c r="F193" i="9"/>
  <c r="F192" i="9"/>
  <c r="F191" i="9"/>
  <c r="F190" i="9"/>
  <c r="F189" i="9"/>
  <c r="F188" i="9"/>
  <c r="F187" i="9"/>
  <c r="F186" i="9"/>
  <c r="F185" i="9"/>
  <c r="F184" i="9"/>
  <c r="F183" i="9"/>
  <c r="F182" i="9"/>
  <c r="F181" i="9"/>
  <c r="F180" i="9"/>
  <c r="F179" i="9"/>
  <c r="F178" i="9"/>
  <c r="F177" i="9"/>
  <c r="F176" i="9"/>
  <c r="F175" i="9"/>
  <c r="F174" i="9"/>
  <c r="F173" i="9"/>
  <c r="F172" i="9"/>
  <c r="F171" i="9"/>
  <c r="F170" i="9"/>
  <c r="F169" i="9"/>
  <c r="F168" i="9"/>
  <c r="F167" i="9"/>
  <c r="F166" i="9"/>
  <c r="F165" i="9"/>
  <c r="F164" i="9"/>
  <c r="F163" i="9"/>
  <c r="F162" i="9"/>
  <c r="F161" i="9"/>
  <c r="F160" i="9"/>
  <c r="F159" i="9"/>
  <c r="F158" i="9"/>
  <c r="F157" i="9"/>
  <c r="F156" i="9"/>
  <c r="F155" i="9"/>
  <c r="F154" i="9"/>
  <c r="F153" i="9"/>
  <c r="F152" i="9"/>
  <c r="F151" i="9"/>
  <c r="F150" i="9"/>
  <c r="F149" i="9"/>
  <c r="F148" i="9"/>
  <c r="F147" i="9"/>
  <c r="F146" i="9"/>
  <c r="F145" i="9"/>
  <c r="F144" i="9"/>
  <c r="F143" i="9"/>
  <c r="F142" i="9"/>
  <c r="F141" i="9"/>
  <c r="F140" i="9"/>
  <c r="F139" i="9"/>
  <c r="F138" i="9"/>
  <c r="F137" i="9"/>
  <c r="F136" i="9"/>
  <c r="F135" i="9"/>
  <c r="F134" i="9"/>
  <c r="F133" i="9"/>
  <c r="F132" i="9"/>
  <c r="F131" i="9"/>
  <c r="F130" i="9"/>
  <c r="F129" i="9"/>
  <c r="F128" i="9"/>
  <c r="F127" i="9"/>
  <c r="F126" i="9"/>
  <c r="F125" i="9"/>
  <c r="F124" i="9"/>
  <c r="F123" i="9"/>
  <c r="F122" i="9"/>
  <c r="F121" i="9"/>
  <c r="F120" i="9"/>
  <c r="F119" i="9"/>
  <c r="F118" i="9"/>
  <c r="F117" i="9"/>
  <c r="F116" i="9"/>
  <c r="F115" i="9"/>
  <c r="F114" i="9"/>
  <c r="F113" i="9"/>
  <c r="F112" i="9"/>
  <c r="F111" i="9"/>
  <c r="F110" i="9"/>
  <c r="F109" i="9"/>
  <c r="F108" i="9"/>
  <c r="F107" i="9"/>
  <c r="F106" i="9"/>
  <c r="F105" i="9"/>
  <c r="F104" i="9"/>
  <c r="F103" i="9"/>
  <c r="F102" i="9"/>
  <c r="F101" i="9"/>
  <c r="F100" i="9"/>
  <c r="F99" i="9"/>
  <c r="F98" i="9"/>
  <c r="F97" i="9"/>
  <c r="F96" i="9"/>
  <c r="F95" i="9"/>
  <c r="F94" i="9"/>
  <c r="F93" i="9"/>
  <c r="F92" i="9"/>
  <c r="F91" i="9"/>
  <c r="F90" i="9"/>
  <c r="F89" i="9"/>
  <c r="F88" i="9"/>
  <c r="F87" i="9"/>
  <c r="F86" i="9"/>
  <c r="F85" i="9"/>
  <c r="F84" i="9"/>
  <c r="F83" i="9"/>
  <c r="F82" i="9"/>
  <c r="F81" i="9"/>
  <c r="F80" i="9"/>
  <c r="F79" i="9"/>
  <c r="F78" i="9"/>
  <c r="F77" i="9"/>
  <c r="F76" i="9"/>
  <c r="F75" i="9"/>
  <c r="F74" i="9"/>
  <c r="F73" i="9"/>
  <c r="F72" i="9"/>
  <c r="F71" i="9"/>
  <c r="F70" i="9"/>
  <c r="F69" i="9"/>
  <c r="F68" i="9"/>
  <c r="F67" i="9"/>
  <c r="F66" i="9"/>
  <c r="F65" i="9"/>
  <c r="F64" i="9"/>
  <c r="F63" i="9"/>
  <c r="F62" i="9"/>
  <c r="F61" i="9"/>
  <c r="F60" i="9"/>
  <c r="F59" i="9"/>
  <c r="F58" i="9"/>
  <c r="F57" i="9"/>
  <c r="F56" i="9"/>
  <c r="F55" i="9"/>
  <c r="F54" i="9"/>
  <c r="F53" i="9"/>
  <c r="F52" i="9"/>
  <c r="F51" i="9"/>
  <c r="F50" i="9"/>
  <c r="F49" i="9"/>
  <c r="F48" i="9"/>
  <c r="F47" i="9"/>
  <c r="F46" i="9"/>
  <c r="F45" i="9"/>
  <c r="F44" i="9"/>
  <c r="F43" i="9"/>
  <c r="F42" i="9"/>
  <c r="F41" i="9"/>
  <c r="F40" i="9"/>
  <c r="F39" i="9"/>
  <c r="F38" i="9"/>
  <c r="F37" i="9"/>
  <c r="F36" i="9"/>
  <c r="F35" i="9"/>
  <c r="F34" i="9"/>
  <c r="F33" i="9"/>
  <c r="F32" i="9"/>
  <c r="F31" i="9"/>
  <c r="F30" i="9"/>
  <c r="F29" i="9"/>
  <c r="F28" i="9"/>
  <c r="F27" i="9"/>
  <c r="F26" i="9"/>
  <c r="F25" i="9"/>
  <c r="F24" i="9"/>
  <c r="F23" i="9"/>
  <c r="F22" i="9"/>
  <c r="F21" i="9"/>
  <c r="F20" i="9"/>
  <c r="F19" i="9"/>
  <c r="F18" i="9"/>
  <c r="F17" i="9"/>
  <c r="F16" i="9"/>
  <c r="F15" i="9"/>
  <c r="F14" i="9"/>
  <c r="F13" i="9"/>
  <c r="F12" i="9"/>
  <c r="F11" i="9"/>
  <c r="F10" i="9"/>
  <c r="F9" i="9"/>
  <c r="F8" i="9"/>
  <c r="F7" i="9"/>
  <c r="F6" i="9"/>
  <c r="F5" i="9"/>
  <c r="F4" i="9"/>
  <c r="F3" i="9"/>
  <c r="F2" i="9"/>
  <c r="B25" i="7" a="1"/>
  <c r="B25" i="7" s="1"/>
  <c r="F87" i="1"/>
  <c r="F83" i="1"/>
  <c r="F217" i="1"/>
  <c r="F219" i="1"/>
  <c r="F189" i="1"/>
  <c r="F86" i="1"/>
  <c r="F85" i="1"/>
  <c r="F84" i="1"/>
  <c r="F66" i="1"/>
  <c r="F67" i="1"/>
  <c r="F147" i="1"/>
  <c r="F148" i="1"/>
  <c r="B39" i="7" a="1"/>
  <c r="B39" i="7" s="1"/>
  <c r="F70" i="1"/>
  <c r="F69" i="1"/>
  <c r="F142" i="1"/>
  <c r="F226" i="1"/>
  <c r="F28" i="1"/>
  <c r="F36" i="1"/>
  <c r="F173" i="1"/>
  <c r="F19" i="1"/>
  <c r="F191" i="1"/>
  <c r="F193" i="1"/>
  <c r="F107" i="1"/>
  <c r="F198" i="1"/>
  <c r="F10" i="1"/>
  <c r="F216" i="1"/>
  <c r="F5" i="1"/>
  <c r="F8" i="1"/>
  <c r="F239" i="1"/>
  <c r="F44" i="1"/>
  <c r="F48" i="1"/>
  <c r="F56" i="1"/>
  <c r="F60" i="1"/>
  <c r="F79" i="1"/>
  <c r="F88" i="1"/>
  <c r="F99" i="1"/>
  <c r="F117" i="1"/>
  <c r="F123" i="1"/>
  <c r="F127" i="1"/>
  <c r="F134" i="1"/>
  <c r="F146" i="1"/>
  <c r="F155" i="1"/>
  <c r="F176" i="1"/>
  <c r="F194" i="1"/>
  <c r="F159" i="1"/>
  <c r="F167" i="1"/>
  <c r="F171" i="1"/>
  <c r="F212" i="1"/>
  <c r="F202" i="1"/>
  <c r="F221" i="1"/>
  <c r="F245" i="1"/>
  <c r="F13" i="1"/>
  <c r="F14" i="1"/>
  <c r="F248" i="1" l="1"/>
  <c r="F205" i="1"/>
  <c r="F210" i="1"/>
  <c r="F170" i="1"/>
  <c r="F207" i="1"/>
  <c r="F158" i="1"/>
  <c r="F145" i="1"/>
  <c r="F136" i="1"/>
  <c r="F126" i="1"/>
  <c r="F116" i="1"/>
  <c r="F82" i="1"/>
  <c r="F59" i="1"/>
  <c r="F47" i="1"/>
  <c r="F77" i="1"/>
  <c r="F236" i="1"/>
  <c r="F106" i="1"/>
  <c r="F21" i="1"/>
  <c r="F235" i="1"/>
  <c r="F241" i="1"/>
  <c r="F206" i="1"/>
  <c r="F247" i="1"/>
  <c r="F204" i="1"/>
  <c r="F209" i="1"/>
  <c r="F169" i="1"/>
  <c r="F27" i="1"/>
  <c r="F157" i="1"/>
  <c r="F144" i="1"/>
  <c r="F135" i="1"/>
  <c r="F125" i="1"/>
  <c r="F115" i="1"/>
  <c r="F81" i="1"/>
  <c r="F58" i="1"/>
  <c r="F46" i="1"/>
  <c r="F240" i="1"/>
  <c r="F20" i="1"/>
  <c r="F38" i="1"/>
  <c r="F190" i="1"/>
  <c r="F15" i="1"/>
  <c r="F246" i="1"/>
  <c r="F203" i="1"/>
  <c r="F208" i="1"/>
  <c r="F168" i="1"/>
  <c r="F26" i="1"/>
  <c r="F156" i="1"/>
  <c r="F143" i="1"/>
  <c r="F124" i="1"/>
  <c r="F114" i="1"/>
  <c r="F80" i="1"/>
  <c r="F57" i="1"/>
  <c r="F45" i="1"/>
  <c r="F9" i="1"/>
  <c r="F4" i="1"/>
  <c r="F105" i="1"/>
  <c r="F192" i="1"/>
  <c r="F37" i="1"/>
  <c r="F234" i="1"/>
  <c r="F233" i="1"/>
  <c r="F220" i="1"/>
  <c r="F12" i="1"/>
  <c r="F244" i="1"/>
  <c r="F201" i="1"/>
  <c r="F166" i="1"/>
  <c r="F183" i="1"/>
  <c r="F154" i="1"/>
  <c r="F141" i="1"/>
  <c r="F133" i="1"/>
  <c r="F98" i="1"/>
  <c r="F78" i="1"/>
  <c r="F55" i="1"/>
  <c r="F43" i="1"/>
  <c r="F238" i="1"/>
  <c r="F25" i="1"/>
  <c r="F3" i="1"/>
  <c r="F17" i="1"/>
  <c r="F197" i="1"/>
  <c r="F104" i="1"/>
  <c r="F215" i="1"/>
  <c r="F18" i="1"/>
  <c r="F35" i="1"/>
  <c r="F232" i="1"/>
  <c r="F76" i="1"/>
  <c r="F11" i="1"/>
  <c r="F196" i="1"/>
  <c r="F243" i="1"/>
  <c r="F200" i="1"/>
  <c r="F188" i="1"/>
  <c r="F165" i="1"/>
  <c r="F182" i="1"/>
  <c r="F140" i="1"/>
  <c r="F132" i="1"/>
  <c r="F122" i="1"/>
  <c r="F94" i="1"/>
  <c r="F54" i="1"/>
  <c r="F42" i="1"/>
  <c r="F237" i="1"/>
  <c r="F97" i="1"/>
  <c r="F113" i="1"/>
  <c r="F103" i="1"/>
  <c r="F214" i="1"/>
  <c r="F96" i="1"/>
  <c r="F34" i="1"/>
  <c r="F231" i="1"/>
  <c r="F75" i="1"/>
  <c r="F195" i="1"/>
  <c r="F242" i="1"/>
  <c r="F199" i="1"/>
  <c r="F187" i="1"/>
  <c r="F164" i="1"/>
  <c r="F180" i="1"/>
  <c r="F153" i="1"/>
  <c r="F139" i="1"/>
  <c r="F121" i="1"/>
  <c r="F93" i="1"/>
  <c r="F65" i="1"/>
  <c r="F53" i="1"/>
  <c r="F41" i="1"/>
  <c r="F24" i="1"/>
  <c r="F218" i="1"/>
  <c r="F112" i="1"/>
  <c r="F102" i="1"/>
  <c r="F95" i="1"/>
  <c r="F33" i="1"/>
  <c r="F230" i="1"/>
  <c r="F68" i="1"/>
  <c r="F225" i="1"/>
  <c r="F186" i="1"/>
  <c r="F163" i="1"/>
  <c r="F152" i="1"/>
  <c r="F131" i="1"/>
  <c r="F120" i="1"/>
  <c r="F92" i="1"/>
  <c r="F64" i="1"/>
  <c r="F52" i="1"/>
  <c r="F40" i="1"/>
  <c r="F23" i="1"/>
  <c r="F74" i="1"/>
  <c r="F111" i="1"/>
  <c r="F101" i="1"/>
  <c r="F2" i="1"/>
  <c r="F32" i="1"/>
  <c r="F229" i="1"/>
  <c r="F251" i="1"/>
  <c r="F224" i="1"/>
  <c r="F185" i="1"/>
  <c r="F162" i="1"/>
  <c r="F179" i="1"/>
  <c r="F151" i="1"/>
  <c r="F130" i="1"/>
  <c r="F119" i="1"/>
  <c r="F91" i="1"/>
  <c r="F63" i="1"/>
  <c r="F51" i="1"/>
  <c r="F39" i="1"/>
  <c r="F22" i="1"/>
  <c r="F73" i="1"/>
  <c r="F110" i="1"/>
  <c r="F100" i="1"/>
  <c r="F211" i="1"/>
  <c r="F31" i="1"/>
  <c r="F250" i="1"/>
  <c r="F223" i="1"/>
  <c r="F184" i="1"/>
  <c r="F161" i="1"/>
  <c r="F178" i="1"/>
  <c r="F150" i="1"/>
  <c r="F138" i="1"/>
  <c r="F129" i="1"/>
  <c r="F118" i="1"/>
  <c r="F90" i="1"/>
  <c r="F62" i="1"/>
  <c r="F50" i="1"/>
  <c r="F7" i="1"/>
  <c r="F16" i="1"/>
  <c r="F109" i="1"/>
  <c r="F72" i="1"/>
  <c r="F175" i="1"/>
  <c r="F30" i="1"/>
  <c r="F181" i="1"/>
  <c r="F228" i="1"/>
  <c r="F249" i="1"/>
  <c r="F222" i="1"/>
  <c r="F213" i="1"/>
  <c r="F172" i="1"/>
  <c r="F160" i="1"/>
  <c r="F177" i="1"/>
  <c r="F149" i="1"/>
  <c r="F137" i="1"/>
  <c r="F128" i="1"/>
  <c r="F89" i="1"/>
  <c r="F61" i="1"/>
  <c r="F49" i="1"/>
  <c r="F6" i="1"/>
  <c r="F108" i="1"/>
  <c r="F71" i="1"/>
  <c r="F174" i="1"/>
  <c r="F29" i="1"/>
  <c r="F227"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<sst xmlns="http://schemas.openxmlformats.org/spreadsheetml/2006/main" count="2676" uniqueCount="175">
  <si>
    <t>Date</t>
  </si>
  <si>
    <t>Description</t>
  </si>
  <si>
    <t>Amount</t>
  </si>
  <si>
    <t>Category</t>
  </si>
  <si>
    <t>Account Name</t>
  </si>
  <si>
    <t>Furnishings</t>
  </si>
  <si>
    <t>Travel</t>
  </si>
  <si>
    <t>Clothing</t>
  </si>
  <si>
    <t>Parking fees</t>
  </si>
  <si>
    <t>Car wash</t>
  </si>
  <si>
    <t>Gasoline</t>
  </si>
  <si>
    <t>Phone bill</t>
  </si>
  <si>
    <t>Internet bill</t>
  </si>
  <si>
    <t>Dining Out</t>
  </si>
  <si>
    <t>Gym or club membership</t>
  </si>
  <si>
    <t>Books/Education</t>
  </si>
  <si>
    <t>Gifts</t>
  </si>
  <si>
    <t>Income</t>
  </si>
  <si>
    <t>Debit</t>
  </si>
  <si>
    <t>Credit</t>
  </si>
  <si>
    <t>Checking</t>
  </si>
  <si>
    <t>Sub-Category</t>
  </si>
  <si>
    <t>Category Type</t>
  </si>
  <si>
    <t>Discretionary</t>
  </si>
  <si>
    <t>Medical</t>
  </si>
  <si>
    <t>Salary</t>
  </si>
  <si>
    <t>Donations</t>
  </si>
  <si>
    <t>Rent</t>
  </si>
  <si>
    <t>Living Expenses</t>
  </si>
  <si>
    <t>Out-of-Pocket Medical Costs</t>
  </si>
  <si>
    <t>Electricity and Natural Gas</t>
  </si>
  <si>
    <t>Transport</t>
  </si>
  <si>
    <t>Haircuts</t>
  </si>
  <si>
    <t>Subscriptions</t>
  </si>
  <si>
    <t>Expense</t>
  </si>
  <si>
    <t>Groceries and home supplies</t>
  </si>
  <si>
    <t>Toiletries</t>
  </si>
  <si>
    <t>Sum of Debit</t>
  </si>
  <si>
    <t>Row Labels</t>
  </si>
  <si>
    <t>Grand Total</t>
  </si>
  <si>
    <t>Jul</t>
  </si>
  <si>
    <t>Aug</t>
  </si>
  <si>
    <t>Sep</t>
  </si>
  <si>
    <t>(All)</t>
  </si>
  <si>
    <t>Sum of Credit</t>
  </si>
  <si>
    <t>Net</t>
  </si>
  <si>
    <t>Column Labels</t>
  </si>
  <si>
    <t>Entertainment</t>
  </si>
  <si>
    <t>Car maintenance and repairs</t>
  </si>
  <si>
    <t>Dental Insurance</t>
  </si>
  <si>
    <t>Renters/Auto Insurance</t>
  </si>
  <si>
    <t>Sum of Amount</t>
  </si>
  <si>
    <t>Banner KPIs</t>
  </si>
  <si>
    <t>Bar Chart - Spending</t>
  </si>
  <si>
    <t>Bar Chart - Income</t>
  </si>
  <si>
    <t>Line Chart - Categories over time</t>
  </si>
  <si>
    <t>Waterfall</t>
  </si>
  <si>
    <t>Bar Chart - Top 5 Subcategories</t>
  </si>
  <si>
    <t>Dynamic Chart Title for Bar Chart - Spending</t>
  </si>
  <si>
    <t>BARRE</t>
  </si>
  <si>
    <t>TAY-V</t>
  </si>
  <si>
    <t>Veriz</t>
  </si>
  <si>
    <t>APPLE</t>
  </si>
  <si>
    <t>Micro</t>
  </si>
  <si>
    <t>HP *I</t>
  </si>
  <si>
    <t>GOOGL</t>
  </si>
  <si>
    <t>SQ *Z</t>
  </si>
  <si>
    <t>CVS/P</t>
  </si>
  <si>
    <t>SEPHO</t>
  </si>
  <si>
    <t>LITTL</t>
  </si>
  <si>
    <t xml:space="preserve">TST* </t>
  </si>
  <si>
    <t>CHAMP</t>
  </si>
  <si>
    <t>SQ *R</t>
  </si>
  <si>
    <t>TAQUE</t>
  </si>
  <si>
    <t xml:space="preserve">IN N </t>
  </si>
  <si>
    <t xml:space="preserve">WHEN </t>
  </si>
  <si>
    <t>R &amp; R</t>
  </si>
  <si>
    <t>Netfl</t>
  </si>
  <si>
    <t xml:space="preserve">LIFT </t>
  </si>
  <si>
    <t>SHAST</t>
  </si>
  <si>
    <t>Reddi</t>
  </si>
  <si>
    <t>LINGO</t>
  </si>
  <si>
    <t>DOLLA</t>
  </si>
  <si>
    <t>WINCO</t>
  </si>
  <si>
    <t xml:space="preserve"> Socc</t>
  </si>
  <si>
    <t xml:space="preserve"> Shoe</t>
  </si>
  <si>
    <t xml:space="preserve"> Polo</t>
  </si>
  <si>
    <t xml:space="preserve">USAA </t>
  </si>
  <si>
    <t xml:space="preserve">DANA </t>
  </si>
  <si>
    <t xml:space="preserve"> Prob</t>
  </si>
  <si>
    <t>Amazo</t>
  </si>
  <si>
    <t>PGAND</t>
  </si>
  <si>
    <t>REDDI</t>
  </si>
  <si>
    <t>ORCHA</t>
  </si>
  <si>
    <t>TRADE</t>
  </si>
  <si>
    <t xml:space="preserve">PMNT </t>
  </si>
  <si>
    <t>SAFEW</t>
  </si>
  <si>
    <t>COSTC</t>
  </si>
  <si>
    <t xml:space="preserve">CITY </t>
  </si>
  <si>
    <t>SQ *C</t>
  </si>
  <si>
    <t>Alber</t>
  </si>
  <si>
    <t xml:space="preserve">Aunt </t>
  </si>
  <si>
    <t>Kindl</t>
  </si>
  <si>
    <t>Emoti</t>
  </si>
  <si>
    <t>Bound</t>
  </si>
  <si>
    <t xml:space="preserve"> Purs</t>
  </si>
  <si>
    <t xml:space="preserve"> Boxe</t>
  </si>
  <si>
    <t xml:space="preserve"> Athl</t>
  </si>
  <si>
    <t>s Sho</t>
  </si>
  <si>
    <t>NETFL</t>
  </si>
  <si>
    <t>Pilla</t>
  </si>
  <si>
    <t>SQ *T</t>
  </si>
  <si>
    <t xml:space="preserve">PAPA </t>
  </si>
  <si>
    <t>DUNSM</t>
  </si>
  <si>
    <t>STARB</t>
  </si>
  <si>
    <t>JANYA</t>
  </si>
  <si>
    <t>SQ *B</t>
  </si>
  <si>
    <t>Puert</t>
  </si>
  <si>
    <t xml:space="preserve">VIEW </t>
  </si>
  <si>
    <t xml:space="preserve">DEER </t>
  </si>
  <si>
    <t>ROCKY</t>
  </si>
  <si>
    <t>7-ELE</t>
  </si>
  <si>
    <t>SQ *N</t>
  </si>
  <si>
    <t>SQ *L</t>
  </si>
  <si>
    <t>SLC P</t>
  </si>
  <si>
    <t>Coffe</t>
  </si>
  <si>
    <t>SQ *F</t>
  </si>
  <si>
    <t>PETER</t>
  </si>
  <si>
    <t>MOD P</t>
  </si>
  <si>
    <t>SHELL</t>
  </si>
  <si>
    <t>SPEED</t>
  </si>
  <si>
    <t>CHECK</t>
  </si>
  <si>
    <t>CHEVR</t>
  </si>
  <si>
    <t xml:space="preserve">FAST </t>
  </si>
  <si>
    <t>ARCO#</t>
  </si>
  <si>
    <t>Oates</t>
  </si>
  <si>
    <t xml:space="preserve">76 - </t>
  </si>
  <si>
    <t>SP AR</t>
  </si>
  <si>
    <t>WAL-M</t>
  </si>
  <si>
    <t>Targe</t>
  </si>
  <si>
    <t>SPROU</t>
  </si>
  <si>
    <t>Prote</t>
  </si>
  <si>
    <t>RALEY</t>
  </si>
  <si>
    <t>GROCE</t>
  </si>
  <si>
    <t>SQ *D</t>
  </si>
  <si>
    <t xml:space="preserve"> Prot</t>
  </si>
  <si>
    <t>Dolla</t>
  </si>
  <si>
    <t>TRAIN</t>
  </si>
  <si>
    <t xml:space="preserve"> Hair</t>
  </si>
  <si>
    <t>HILLT</t>
  </si>
  <si>
    <t>DENTA</t>
  </si>
  <si>
    <t>VESTA</t>
  </si>
  <si>
    <t>Furni</t>
  </si>
  <si>
    <t>Plant</t>
  </si>
  <si>
    <t>Mum P</t>
  </si>
  <si>
    <t>Britt</t>
  </si>
  <si>
    <t>Bathr</t>
  </si>
  <si>
    <t>Toile</t>
  </si>
  <si>
    <t>Spect</t>
  </si>
  <si>
    <t>Castl</t>
  </si>
  <si>
    <t>TCB*M</t>
  </si>
  <si>
    <t>Lotio</t>
  </si>
  <si>
    <t>WALGR</t>
  </si>
  <si>
    <t xml:space="preserve">ULTA </t>
  </si>
  <si>
    <t>Eye C</t>
  </si>
  <si>
    <t>Tooth</t>
  </si>
  <si>
    <t>Cotto</t>
  </si>
  <si>
    <t xml:space="preserve"> Sham</t>
  </si>
  <si>
    <t>BILLI</t>
  </si>
  <si>
    <t>Aller</t>
  </si>
  <si>
    <t>Probi</t>
  </si>
  <si>
    <t>Winds</t>
  </si>
  <si>
    <t>Motor</t>
  </si>
  <si>
    <t>PREMI</t>
  </si>
  <si>
    <t>MODER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</si>
</sst>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4" formatCode="_(&quot;$&quot;* #,##0.00_);_(&quot;$&quot;* \(#,##0.00\);_(&quot;$&quot;* &quot;-&quot;??_);_(@_)"/>
    <numFmt numFmtId="164" formatCode="&quot;$&quot;#,##0"/>
  </numFmts>
  <fonts count="26" x14ac:knownFonts="1">
    <font>
      <sz val="12"/>
      <color theme="1"/>
      <name val="Arial"/>
      <family val="2"/>
      <scheme val="minor"/>
    </font>
    <font>
      <sz val="12"/>
      <color theme="1"/>
      <name val="Arial"/>
      <family val="2"/>
      <scheme val="minor"/>
    </font>
    <font>
      <sz val="18"/>
      <color theme="3"/>
      <name val="Times New Roman"/>
      <family val="2"/>
      <scheme val="major"/>
    </font>
    <font>
      <b/>
      <sz val="15"/>
      <color theme="3"/>
      <name val="Arial"/>
      <family val="2"/>
      <scheme val="minor"/>
    </font>
    <font>
      <b/>
      <sz val="13"/>
      <color theme="3"/>
      <name val="Arial"/>
      <family val="2"/>
      <scheme val="minor"/>
    </font>
    <font>
      <b/>
      <sz val="11"/>
      <color theme="3"/>
      <name val="Arial"/>
      <family val="2"/>
      <scheme val="minor"/>
    </font>
    <font>
      <sz val="12"/>
      <color rgb="FF006100"/>
      <name val="Arial"/>
      <family val="2"/>
      <scheme val="minor"/>
    </font>
    <font>
      <sz val="12"/>
      <color rgb="FF9C0006"/>
      <name val="Arial"/>
      <family val="2"/>
      <scheme val="minor"/>
    </font>
    <font>
      <sz val="12"/>
      <color rgb="FF9C5700"/>
      <name val="Arial"/>
      <family val="2"/>
      <scheme val="minor"/>
    </font>
    <font>
      <sz val="12"/>
      <color rgb="FF3F3F76"/>
      <name val="Arial"/>
      <family val="2"/>
      <scheme val="minor"/>
    </font>
    <font>
      <b/>
      <sz val="12"/>
      <color rgb="FF3F3F3F"/>
      <name val="Arial"/>
      <family val="2"/>
      <scheme val="minor"/>
    </font>
    <font>
      <b/>
      <sz val="12"/>
      <color rgb="FFFA7D00"/>
      <name val="Arial"/>
      <family val="2"/>
      <scheme val="minor"/>
    </font>
    <font>
      <sz val="12"/>
      <color rgb="FFFA7D00"/>
      <name val="Arial"/>
      <family val="2"/>
      <scheme val="minor"/>
    </font>
    <font>
      <b/>
      <sz val="12"/>
      <color theme="0"/>
      <name val="Arial"/>
      <family val="2"/>
      <scheme val="minor"/>
    </font>
    <font>
      <sz val="12"/>
      <color rgb="FFFF0000"/>
      <name val="Arial"/>
      <family val="2"/>
      <scheme val="minor"/>
    </font>
    <font>
      <i/>
      <sz val="12"/>
      <color rgb="FF7F7F7F"/>
      <name val="Arial"/>
      <family val="2"/>
      <scheme val="minor"/>
    </font>
    <font>
      <b/>
      <sz val="12"/>
      <color theme="1"/>
      <name val="Arial"/>
      <family val="2"/>
      <scheme val="minor"/>
    </font>
    <font>
      <sz val="12"/>
      <color theme="0"/>
      <name val="Arial"/>
      <family val="2"/>
      <scheme val="minor"/>
    </font>
    <font>
      <b/>
      <sz val="12"/>
      <name val="Arial"/>
      <family val="2"/>
      <scheme val="minor"/>
    </font>
    <font>
      <sz val="12"/>
      <name val="Arial"/>
      <family val="2"/>
      <scheme val="minor"/>
    </font>
    <font>
      <b/>
      <sz val="12"/>
      <name val="Calibri"/>
      <family val="2"/>
    </font>
    <font>
      <i/>
      <sz val="12"/>
      <name val="Arial"/>
      <family val="2"/>
      <scheme val="minor"/>
    </font>
    <font>
      <sz val="12"/>
      <name val="Calibri"/>
      <family val="2"/>
    </font>
    <font>
      <sz val="12"/>
      <name val="Calibri (Body)"/>
    </font>
    <font>
      <sz val="16"/>
      <color theme="1"/>
      <name val="Arial"/>
      <family val="2"/>
      <scheme val="minor"/>
    </font>
    <font>
      <b/>
      <sz val="20"/>
      <color theme="1"/>
      <name val="Arial"/>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4" fontId="1" fillId="0" borderId="0" applyFont="0" applyFill="0" applyBorder="0" applyAlignment="0" applyProtection="0"/>
  </cellStyleXfs>
  <cellXfs count="22">
    <xf numFmtId="0" fontId="0" fillId="0" borderId="0" xfId="0"/>
    <xf numFmtId="14" fontId="0" fillId="0" borderId="0" xfId="0" applyNumberFormat="1"/>
    <xf numFmtId="0" fontId="19" fillId="0" borderId="0" xfId="0" applyFont="1"/>
    <xf numFmtId="0" fontId="18" fillId="0" borderId="0" xfId="0" applyFont="1"/>
    <xf numFmtId="14" fontId="19" fillId="0" borderId="0" xfId="0" applyNumberFormat="1" applyFont="1"/>
    <xf numFmtId="14" fontId="22" fillId="0" borderId="0" xfId="0" applyNumberFormat="1" applyFont="1"/>
    <xf numFmtId="0" fontId="21" fillId="0" borderId="0" xfId="0" applyFont="1"/>
    <xf numFmtId="14" fontId="23" fillId="0" borderId="0" xfId="0" applyNumberFormat="1" applyFont="1"/>
    <xf numFmtId="0" fontId="20" fillId="0" borderId="0" xfId="0" applyFont="1"/>
    <xf numFmtId="14" fontId="18" fillId="0" borderId="0" xfId="0" applyNumberFormat="1" applyFont="1"/>
    <xf numFmtId="14" fontId="20" fillId="0" borderId="0" xfId="0" applyNumberFormat="1" applyFont="1"/>
    <xf numFmtId="0" fontId="16" fillId="0" borderId="0" xfId="0" applyFont="1"/>
    <xf numFmtId="0" fontId="0" fillId="0" borderId="0" xfId="0" pivotButton="1"/>
    <xf numFmtId="0" fontId="0" fillId="0" borderId="0" xfId="0" applyAlignment="1">
      <alignment horizontal="left"/>
    </xf>
    <xf numFmtId="164" fontId="0" fillId="0" borderId="0" xfId="0" applyNumberFormat="1"/>
    <xf numFmtId="14" fontId="0" fillId="0" borderId="0" xfId="0" applyNumberFormat="1" applyAlignment="1">
      <alignment horizontal="left"/>
    </xf>
    <xf numFmtId="0" fontId="24" fillId="0" borderId="0" xfId="0" applyFont="1"/>
    <xf numFmtId="164" fontId="24" fillId="0" borderId="0" xfId="0" applyNumberFormat="1" applyFont="1"/>
    <xf numFmtId="0" fontId="25" fillId="0" borderId="0" xfId="0" applyFont="1"/>
    <xf numFmtId="0" fontId="0" fillId="33" borderId="0" xfId="0" applyFill="1"/>
    <xf numFmtId="0" fontId="0" fillId="33" borderId="0" xfId="0" applyFill="1" applyAlignment="1">
      <alignment horizontal="left"/>
    </xf>
    <xf numFmtId="164" fontId="0" fillId="0" borderId="0" xfId="42" applyNumberFormat="1" applyFont="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urrency" xfId="42" builtinId="4"/>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48">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font>
        <color theme="0"/>
      </font>
      <fill>
        <patternFill>
          <bgColor theme="0"/>
        </patternFill>
      </fill>
    </dxf>
    <dxf>
      <font>
        <color theme="0"/>
      </font>
      <border diagonalUp="0" diagonalDown="0">
        <left/>
        <right/>
        <top/>
        <bottom/>
        <vertical/>
        <horizontal/>
      </border>
    </dxf>
    <dxf>
      <font>
        <color theme="0"/>
      </font>
      <border>
        <bottom style="thin">
          <color rgb="FF4F81BD"/>
        </bottom>
        <vertical/>
        <horizontal/>
      </border>
    </dxf>
    <dxf>
      <font>
        <color theme="1"/>
      </font>
      <fill>
        <patternFill>
          <bgColor theme="1"/>
        </patternFill>
      </fill>
      <border diagonalUp="0" diagonalDown="0">
        <left/>
        <right/>
        <top/>
        <bottom/>
        <vertical/>
        <horizontal/>
      </border>
    </dxf>
    <dxf>
      <font>
        <b/>
        <color theme="1"/>
      </font>
      <border>
        <bottom style="thin">
          <color theme="4"/>
        </bottom>
        <vertical/>
        <horizontal/>
      </border>
    </dxf>
    <dxf>
      <font>
        <color theme="1"/>
      </font>
      <fill>
        <patternFill patternType="solid">
          <bgColor theme="1"/>
        </patternFill>
      </fill>
      <border diagonalUp="0" diagonalDown="0">
        <left/>
        <right/>
        <top/>
        <bottom/>
        <vertical/>
        <horizontal/>
      </border>
    </dxf>
    <dxf>
      <fill>
        <patternFill>
          <fgColor theme="0"/>
          <bgColor theme="0"/>
        </patternFill>
      </fill>
    </dxf>
    <dxf>
      <fill>
        <patternFill>
          <bgColor rgb="FFB4C6E7"/>
        </patternFill>
      </fill>
    </dxf>
    <dxf>
      <fill>
        <patternFill>
          <bgColor rgb="FFB4C6E7"/>
        </patternFill>
      </fill>
    </dxf>
    <dxf>
      <fill>
        <patternFill>
          <bgColor theme="0"/>
        </patternFill>
      </fill>
    </dxf>
    <dxf>
      <font>
        <color theme="0"/>
      </font>
      <border>
        <bottom style="thin">
          <color theme="6"/>
        </bottom>
        <vertical/>
        <horizontal/>
      </border>
    </dxf>
    <dxf>
      <font>
        <color theme="1"/>
      </font>
      <fill>
        <patternFill patternType="solid">
          <bgColor theme="1"/>
        </patternFill>
      </fill>
      <border diagonalUp="0" diagonalDown="0">
        <left/>
        <right/>
        <top/>
        <bottom/>
        <vertical/>
        <horizontal/>
      </border>
    </dxf>
  </dxfs>
  <tableStyles count="3" defaultTableStyle="TableStyleMedium2" defaultPivotStyle="PivotStyleLight16">
    <tableStyle name="Simple" pivot="0" table="0" count="14" xr9:uid="{BD11A864-4ED4-6241-B793-DA3EA73ADE56}">
      <tableStyleElement type="wholeTable" dxfId="47"/>
      <tableStyleElement type="headerRow" dxfId="46"/>
      <tableStyleElement type="firstColumn" dxfId="45"/>
      <tableStyleElement type="firstRowStripe" dxfId="44"/>
      <tableStyleElement type="firstColumnStripe" dxfId="43"/>
      <tableStyleElement type="firstHeaderCell" dxfId="42"/>
    </tableStyle>
    <tableStyle name="SlicerStyleLight1 2" pivot="0" table="0" count="10" xr9:uid="{7749FFD7-13EA-804E-BEB9-8AE057129159}">
      <tableStyleElement type="wholeTable" dxfId="41"/>
      <tableStyleElement type="headerRow" dxfId="40"/>
    </tableStyle>
    <tableStyle name="SlicerStyleOther2 2" pivot="0" table="0" count="12" xr9:uid="{C8CBD271-A86C-9845-B531-9F69B9D3822D}">
      <tableStyleElement type="wholeTable" dxfId="39"/>
      <tableStyleElement type="headerRow" dxfId="38"/>
      <tableStyleElement type="firstColumnStripe" dxfId="37"/>
      <tableStyleElement type="firstHeaderCell" dxfId="36"/>
    </tableStyle>
  </tableStyles>
  <colors>
    <mruColors>
      <color rgb="FFF09B1F"/>
      <color rgb="FFB43DC7"/>
      <color rgb="FFF56C9C"/>
      <color rgb="FFEDBE30"/>
      <color rgb="FFEEE05A"/>
      <color rgb="FF85BB44"/>
      <color rgb="FFBDCF31"/>
      <color rgb="FFEB5443"/>
      <color rgb="FF3BAEEF"/>
      <color rgb="FFB3D4FF"/>
    </mruColors>
  </colors>
  <extLst>
    <ext xmlns:x14="http://schemas.microsoft.com/office/spreadsheetml/2009/9/main" uri="{46F421CA-312F-682f-3DD2-61675219B42D}">
      <x14:dxfs count="24">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D1E0F5"/>
              </stop>
              <stop position="1">
                <color rgb="FFE9F2FB"/>
              </stop>
            </gradient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A3BBDF"/>
              </stop>
              <stop position="1">
                <color rgb="FFCADEF6"/>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F2F4F6"/>
              </stop>
              <stop position="1">
                <color rgb="FFFEFEFE"/>
              </stop>
            </gradientFill>
          </fill>
          <border>
            <left style="thin">
              <color rgb="FFE0E0E0"/>
            </left>
            <right style="thin">
              <color rgb="FFE0E0E0"/>
            </right>
            <top style="thin">
              <color rgb="FFE0E0E0"/>
            </top>
            <bottom style="thin">
              <color rgb="FFE0E0E0"/>
            </bottom>
            <vertical/>
            <horizontal/>
          </border>
        </dxf>
        <dxf>
          <font>
            <color rgb="FF000000"/>
          </font>
          <fill>
            <gradientFill degree="90">
              <stop position="0">
                <color rgb="FFE8EBEE"/>
              </stop>
              <stop position="1">
                <color rgb="FFF8F8FA"/>
              </stop>
            </gradient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6" tint="0.59999389629810485"/>
              <bgColor theme="6"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imple">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Other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[Finance_Dashboard.xlsm]Analysis - Pivot Charts!PTDnut</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eparator>
</c:separator>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eparator>
</c:separator>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rgbClr val="DB08B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separator>
</c:separator>
          <c:extLst>
            <c:ext xmlns:c15="http://schemas.microsoft.com/office/drawing/2012/chart" uri="{CE6537A1-D6FC-4f65-9D91-7224C49458BB}"/>
          </c:extLst>
        </c:dLbl>
      </c:pivotFmt>
      <c:pivotFmt>
        <c:idx val="5"/>
        <c:spPr>
          <a:solidFill>
            <a:srgbClr val="F09B1F"/>
          </a:solidFill>
          <a:ln>
            <a:noFill/>
          </a:ln>
          <a:effectLst/>
        </c:spPr>
        <c:dLbl>
          <c:idx val="0"/>
          <c:layout>
            <c:manualLayout>
              <c:x val="1.3642909254115919E-2"/>
              <c:y val="4.5052548223587029E-2"/>
            </c:manualLayout>
          </c:layout>
          <c:spPr>
            <a:noFill/>
            <a:ln>
              <a:noFill/>
            </a:ln>
            <a:effectLst/>
          </c:spPr>
          <c:txPr>
            <a:bodyPr rot="0" spcFirstLastPara="1" vertOverflow="ellipsis" vert="horz" wrap="square" lIns="38100" tIns="19050" rIns="38100" bIns="19050" anchor="ctr" anchorCtr="1">
              <a:noAutofit/>
            </a:bodyPr>
            <a:lstStyle/>
            <a:p>
              <a:pPr>
                <a:defRPr sz="14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separator>
</c:separator>
          <c:extLst>
            <c:ext xmlns:c15="http://schemas.microsoft.com/office/drawing/2012/chart" uri="{CE6537A1-D6FC-4f65-9D91-7224C49458BB}">
              <c15:layout>
                <c:manualLayout>
                  <c:w val="0.19467686411966562"/>
                  <c:h val="0.13802768851911384"/>
                </c:manualLayout>
              </c15:layout>
            </c:ext>
          </c:extLst>
        </c:dLbl>
      </c:pivotFmt>
      <c:pivotFmt>
        <c:idx val="6"/>
        <c:spPr>
          <a:solidFill>
            <a:srgbClr val="B43DC7"/>
          </a:solidFill>
          <a:ln>
            <a:noFill/>
          </a:ln>
          <a:effectLst/>
        </c:spPr>
        <c:dLbl>
          <c:idx val="0"/>
          <c:layout>
            <c:manualLayout>
              <c:x val="-4.4120519648540388E-3"/>
              <c:y val="-5.7816207435716629E-3"/>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separator>
</c:separator>
          <c:extLst>
            <c:ext xmlns:c15="http://schemas.microsoft.com/office/drawing/2012/chart" uri="{CE6537A1-D6FC-4f65-9D91-7224C49458BB}"/>
          </c:extLst>
        </c:dLbl>
      </c:pivotFmt>
    </c:pivotFmts>
    <c:plotArea>
      <c:layout>
        <c:manualLayout>
          <c:layoutTarget val="inner"/>
          <c:xMode val="edge"/>
          <c:yMode val="edge"/>
          <c:x val="0.25288447823001869"/>
          <c:y val="0.25398923538461465"/>
          <c:w val="0.50807701148485418"/>
          <c:h val="0.70265979181440918"/>
        </c:manualLayout>
      </c:layout>
      <c:doughnutChart>
        <c:varyColors val="1"/>
        <c:ser>
          <c:idx val="0"/>
          <c:order val="0"/>
          <c:tx>
            <c:strRef>
              <c:f>'Analysis - Pivot Charts'!$B$17</c:f>
              <c:strCache>
                <c:ptCount val="1"/>
                <c:pt idx="0">
                  <c:v>Total</c:v>
                </c:pt>
              </c:strCache>
            </c:strRef>
          </c:tx>
          <c:spPr>
            <a:solidFill>
              <a:srgbClr val="DB08B5"/>
            </a:solidFill>
          </c:spPr>
          <c:dPt>
            <c:idx val="0"/>
            <c:bubble3D val="0"/>
            <c:spPr>
              <a:solidFill>
                <a:srgbClr val="F09B1F"/>
              </a:solidFill>
              <a:ln>
                <a:noFill/>
              </a:ln>
              <a:effectLst/>
            </c:spPr>
            <c:extLst>
              <c:ext xmlns:c16="http://schemas.microsoft.com/office/drawing/2014/chart" uri="{C3380CC4-5D6E-409C-BE32-E72D297353CC}">
                <c16:uniqueId val="{00000001-CDCF-1942-8DB0-7A415A702007}"/>
              </c:ext>
            </c:extLst>
          </c:dPt>
          <c:dPt>
            <c:idx val="1"/>
            <c:bubble3D val="0"/>
            <c:spPr>
              <a:solidFill>
                <a:srgbClr val="B43DC7"/>
              </a:solidFill>
              <a:ln>
                <a:noFill/>
              </a:ln>
              <a:effectLst/>
            </c:spPr>
            <c:extLst>
              <c:ext xmlns:c16="http://schemas.microsoft.com/office/drawing/2014/chart" uri="{C3380CC4-5D6E-409C-BE32-E72D297353CC}">
                <c16:uniqueId val="{00000003-CDCF-1942-8DB0-7A415A702007}"/>
              </c:ext>
            </c:extLst>
          </c:dPt>
          <c:dLbls>
            <c:dLbl>
              <c:idx val="0"/>
              <c:layout>
                <c:manualLayout>
                  <c:x val="1.3642909254115919E-2"/>
                  <c:y val="4.5052548223587029E-2"/>
                </c:manualLayout>
              </c:layout>
              <c:spPr>
                <a:noFill/>
                <a:ln>
                  <a:noFill/>
                </a:ln>
                <a:effectLst/>
              </c:spPr>
              <c:txPr>
                <a:bodyPr rot="0" spcFirstLastPara="1" vertOverflow="ellipsis" vert="horz" wrap="square" lIns="38100" tIns="19050" rIns="38100" bIns="19050" anchor="ctr" anchorCtr="1">
                  <a:noAutofit/>
                </a:bodyPr>
                <a:lstStyle/>
                <a:p>
                  <a:pPr>
                    <a:defRPr sz="14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separator>
</c:separator>
              <c:extLst>
                <c:ext xmlns:c15="http://schemas.microsoft.com/office/drawing/2012/chart" uri="{CE6537A1-D6FC-4f65-9D91-7224C49458BB}">
                  <c15:layout>
                    <c:manualLayout>
                      <c:w val="0.19467686411966562"/>
                      <c:h val="0.13802768851911384"/>
                    </c:manualLayout>
                  </c15:layout>
                </c:ext>
                <c:ext xmlns:c16="http://schemas.microsoft.com/office/drawing/2014/chart" uri="{C3380CC4-5D6E-409C-BE32-E72D297353CC}">
                  <c16:uniqueId val="{00000001-CDCF-1942-8DB0-7A415A702007}"/>
                </c:ext>
              </c:extLst>
            </c:dLbl>
            <c:dLbl>
              <c:idx val="1"/>
              <c:layout>
                <c:manualLayout>
                  <c:x val="-4.4120519648540388E-3"/>
                  <c:y val="-5.7816207435716629E-3"/>
                </c:manualLayout>
              </c:layou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3-CDCF-1942-8DB0-7A415A702007}"/>
                </c:ext>
              </c:extLst>
            </c:dLbl>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separator>
</c:separator>
            <c:showLeaderLines val="0"/>
            <c:extLst>
              <c:ext xmlns:c15="http://schemas.microsoft.com/office/drawing/2012/chart" uri="{CE6537A1-D6FC-4f65-9D91-7224C49458BB}"/>
            </c:extLst>
          </c:dLbls>
          <c:cat>
            <c:strRef>
              <c:f>'Analysis - Pivot Charts'!$A$18:$A$20</c:f>
              <c:strCache>
                <c:ptCount val="2"/>
                <c:pt idx="0">
                  <c:v>Checking</c:v>
                </c:pt>
                <c:pt idx="1">
                  <c:v>Credit</c:v>
                </c:pt>
              </c:strCache>
            </c:strRef>
          </c:cat>
          <c:val>
            <c:numRef>
              <c:f>'Analysis - Pivot Charts'!$B$18:$B$20</c:f>
              <c:numCache>
                <c:formatCode>"$"#,##0</c:formatCode>
                <c:ptCount val="2"/>
                <c:pt idx="0">
                  <c:v>5009.1999999999989</c:v>
                </c:pt>
                <c:pt idx="1">
                  <c:v>5492.2899999999936</c:v>
                </c:pt>
              </c:numCache>
            </c:numRef>
          </c:val>
          <c:extLst>
            <c:ext xmlns:c16="http://schemas.microsoft.com/office/drawing/2014/chart" uri="{C3380CC4-5D6E-409C-BE32-E72D297353CC}">
              <c16:uniqueId val="{00000004-CDCF-1942-8DB0-7A415A702007}"/>
            </c:ext>
          </c:extLst>
        </c:ser>
        <c:dLbls>
          <c:showLegendKey val="0"/>
          <c:showVal val="0"/>
          <c:showCatName val="1"/>
          <c:showSerName val="0"/>
          <c:showPercent val="1"/>
          <c:showBubbleSize val="0"/>
          <c:showLeaderLines val="0"/>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2"/>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[Finance_Dashboard.xlsm]Analysis - Pivot Charts!NetExpenses</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FF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FFFF"/>
          </a:solidFill>
          <a:ln>
            <a:noFill/>
          </a:ln>
          <a:effectLst/>
        </c:spPr>
      </c:pivotFmt>
    </c:pivotFmts>
    <c:plotArea>
      <c:layout>
        <c:manualLayout>
          <c:layoutTarget val="inner"/>
          <c:xMode val="edge"/>
          <c:yMode val="edge"/>
          <c:x val="2.8695654138695934E-2"/>
          <c:y val="0.35520434227330777"/>
          <c:w val="0.94260869172260808"/>
          <c:h val="0.52274244275500048"/>
        </c:manualLayout>
      </c:layout>
      <c:barChart>
        <c:barDir val="col"/>
        <c:grouping val="clustered"/>
        <c:varyColors val="0"/>
        <c:ser>
          <c:idx val="0"/>
          <c:order val="0"/>
          <c:tx>
            <c:strRef>
              <c:f>'Analysis - Pivot Charts'!$E$4</c:f>
              <c:strCache>
                <c:ptCount val="1"/>
                <c:pt idx="0">
                  <c:v>Total</c:v>
                </c:pt>
              </c:strCache>
            </c:strRef>
          </c:tx>
          <c:spPr>
            <a:solidFill>
              <a:srgbClr val="FFFF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 Pivot Charts'!$D$5:$D$8</c:f>
              <c:strCache>
                <c:ptCount val="3"/>
                <c:pt idx="0">
                  <c:v>Jul</c:v>
                </c:pt>
                <c:pt idx="1">
                  <c:v>Aug</c:v>
                </c:pt>
                <c:pt idx="2">
                  <c:v>Sep</c:v>
                </c:pt>
              </c:strCache>
            </c:strRef>
          </c:cat>
          <c:val>
            <c:numRef>
              <c:f>'Analysis - Pivot Charts'!$E$5:$E$8</c:f>
              <c:numCache>
                <c:formatCode>"$"#,##0</c:formatCode>
                <c:ptCount val="3"/>
                <c:pt idx="0">
                  <c:v>3642.8899999999994</c:v>
                </c:pt>
                <c:pt idx="1">
                  <c:v>3734.2499999999986</c:v>
                </c:pt>
                <c:pt idx="2">
                  <c:v>3124.3500000000004</c:v>
                </c:pt>
              </c:numCache>
            </c:numRef>
          </c:val>
          <c:extLst>
            <c:ext xmlns:c16="http://schemas.microsoft.com/office/drawing/2014/chart" uri="{C3380CC4-5D6E-409C-BE32-E72D297353CC}">
              <c16:uniqueId val="{00000000-5173-C24F-9A6D-11B5AC28BA07}"/>
            </c:ext>
          </c:extLst>
        </c:ser>
        <c:dLbls>
          <c:showLegendKey val="0"/>
          <c:showVal val="0"/>
          <c:showCatName val="0"/>
          <c:showSerName val="0"/>
          <c:showPercent val="0"/>
          <c:showBubbleSize val="0"/>
        </c:dLbls>
        <c:gapWidth val="100"/>
        <c:axId val="821074416"/>
        <c:axId val="821064160"/>
      </c:barChart>
      <c:catAx>
        <c:axId val="821074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bg1"/>
                </a:solidFill>
                <a:latin typeface="+mn-lt"/>
                <a:ea typeface="+mn-ea"/>
                <a:cs typeface="+mn-cs"/>
              </a:defRPr>
            </a:pPr>
            <a:endParaRPr lang="en-US"/>
          </a:p>
        </c:txPr>
        <c:crossAx val="821064160"/>
        <c:crosses val="autoZero"/>
        <c:auto val="1"/>
        <c:lblAlgn val="ctr"/>
        <c:lblOffset val="100"/>
        <c:noMultiLvlLbl val="0"/>
      </c:catAx>
      <c:valAx>
        <c:axId val="821064160"/>
        <c:scaling>
          <c:orientation val="minMax"/>
          <c:min val="0"/>
        </c:scaling>
        <c:delete val="1"/>
        <c:axPos val="l"/>
        <c:numFmt formatCode="&quot;$&quot;#,##0" sourceLinked="1"/>
        <c:majorTickMark val="out"/>
        <c:minorTickMark val="none"/>
        <c:tickLblPos val="nextTo"/>
        <c:crossAx val="821074416"/>
        <c:crosses val="autoZero"/>
        <c:crossBetween val="between"/>
      </c:valAx>
      <c:spPr>
        <a:noFill/>
        <a:ln w="6350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[Finance_Dashboard.xlsm]Analysis - Pivot Charts!NetIncome</c:name>
    <c:fmtId val="2"/>
  </c:pivotSource>
  <c:chart>
    <c:title>
      <c:tx>
        <c:rich>
          <a:bodyPr rot="0" spcFirstLastPara="1" vertOverflow="ellipsis" vert="horz" wrap="square" anchor="ctr" anchorCtr="1"/>
          <a:lstStyle/>
          <a:p>
            <a:pPr>
              <a:defRPr sz="2000" b="1" i="0" u="none" strike="noStrike" kern="1200" spc="0" baseline="0">
                <a:solidFill>
                  <a:srgbClr val="FFFFFF"/>
                </a:solidFill>
                <a:latin typeface="+mn-lt"/>
                <a:ea typeface="+mn-ea"/>
                <a:cs typeface="+mn-cs"/>
              </a:defRPr>
            </a:pPr>
            <a:r>
              <a:rPr lang="en-US" sz="2000" b="1">
                <a:solidFill>
                  <a:srgbClr val="FFFFFF"/>
                </a:solidFill>
              </a:rPr>
              <a:t>Net Income</a:t>
            </a:r>
          </a:p>
        </c:rich>
      </c:tx>
      <c:layout>
        <c:manualLayout>
          <c:xMode val="edge"/>
          <c:yMode val="edge"/>
          <c:x val="0.35361652541023797"/>
          <c:y val="9.1634738186462325E-2"/>
        </c:manualLayout>
      </c:layout>
      <c:overlay val="0"/>
      <c:spPr>
        <a:noFill/>
        <a:ln>
          <a:noFill/>
        </a:ln>
        <a:effectLst/>
      </c:spPr>
      <c:txPr>
        <a:bodyPr rot="0" spcFirstLastPara="1" vertOverflow="ellipsis" vert="horz" wrap="square" anchor="ctr" anchorCtr="1"/>
        <a:lstStyle/>
        <a:p>
          <a:pPr>
            <a:defRPr sz="2000" b="1" i="0" u="none" strike="noStrike" kern="1200" spc="0" baseline="0">
              <a:solidFill>
                <a:srgbClr val="FFFFFF"/>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FF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FFFF"/>
          </a:solidFill>
          <a:ln>
            <a:noFill/>
          </a:ln>
          <a:effectLst/>
        </c:spPr>
      </c:pivotFmt>
      <c:pivotFmt>
        <c:idx val="4"/>
        <c:spPr>
          <a:solidFill>
            <a:srgbClr val="FFFFFF"/>
          </a:solidFill>
          <a:ln>
            <a:noFill/>
          </a:ln>
          <a:effectLst/>
        </c:spPr>
      </c:pivotFmt>
      <c:pivotFmt>
        <c:idx val="5"/>
        <c:spPr>
          <a:solidFill>
            <a:srgbClr val="FFFFFF"/>
          </a:solidFill>
          <a:ln>
            <a:noFill/>
          </a:ln>
          <a:effectLst/>
        </c:spPr>
      </c:pivotFmt>
    </c:pivotFmts>
    <c:plotArea>
      <c:layout>
        <c:manualLayout>
          <c:layoutTarget val="inner"/>
          <c:xMode val="edge"/>
          <c:yMode val="edge"/>
          <c:x val="2.8695654138695934E-2"/>
          <c:y val="0.3073116219667944"/>
          <c:w val="0.94260869172260808"/>
          <c:h val="0.57063516306151385"/>
        </c:manualLayout>
      </c:layout>
      <c:barChart>
        <c:barDir val="col"/>
        <c:grouping val="clustered"/>
        <c:varyColors val="0"/>
        <c:ser>
          <c:idx val="0"/>
          <c:order val="0"/>
          <c:tx>
            <c:strRef>
              <c:f>'Analysis - Pivot Charts'!$H$4</c:f>
              <c:strCache>
                <c:ptCount val="1"/>
                <c:pt idx="0">
                  <c:v>Total</c:v>
                </c:pt>
              </c:strCache>
            </c:strRef>
          </c:tx>
          <c:spPr>
            <a:solidFill>
              <a:srgbClr val="FFFF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 Pivot Charts'!$G$5:$G$8</c:f>
              <c:strCache>
                <c:ptCount val="3"/>
                <c:pt idx="0">
                  <c:v>Jul</c:v>
                </c:pt>
                <c:pt idx="1">
                  <c:v>Aug</c:v>
                </c:pt>
                <c:pt idx="2">
                  <c:v>Sep</c:v>
                </c:pt>
              </c:strCache>
            </c:strRef>
          </c:cat>
          <c:val>
            <c:numRef>
              <c:f>'Analysis - Pivot Charts'!$H$5:$H$8</c:f>
              <c:numCache>
                <c:formatCode>"$"#,##0</c:formatCode>
                <c:ptCount val="3"/>
                <c:pt idx="0">
                  <c:v>3796.05</c:v>
                </c:pt>
                <c:pt idx="1">
                  <c:v>5244.45</c:v>
                </c:pt>
                <c:pt idx="2">
                  <c:v>5101.22</c:v>
                </c:pt>
              </c:numCache>
            </c:numRef>
          </c:val>
          <c:extLst>
            <c:ext xmlns:c16="http://schemas.microsoft.com/office/drawing/2014/chart" uri="{C3380CC4-5D6E-409C-BE32-E72D297353CC}">
              <c16:uniqueId val="{00000000-11C5-9E42-A151-BEDDFE2F2810}"/>
            </c:ext>
          </c:extLst>
        </c:ser>
        <c:dLbls>
          <c:showLegendKey val="0"/>
          <c:showVal val="0"/>
          <c:showCatName val="0"/>
          <c:showSerName val="0"/>
          <c:showPercent val="0"/>
          <c:showBubbleSize val="0"/>
        </c:dLbls>
        <c:gapWidth val="100"/>
        <c:overlap val="-27"/>
        <c:axId val="864326352"/>
        <c:axId val="864328352"/>
      </c:barChart>
      <c:catAx>
        <c:axId val="864326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bg1"/>
                </a:solidFill>
                <a:latin typeface="+mn-lt"/>
                <a:ea typeface="+mn-ea"/>
                <a:cs typeface="+mn-cs"/>
              </a:defRPr>
            </a:pPr>
            <a:endParaRPr lang="en-US"/>
          </a:p>
        </c:txPr>
        <c:crossAx val="864328352"/>
        <c:crosses val="autoZero"/>
        <c:auto val="1"/>
        <c:lblAlgn val="ctr"/>
        <c:lblOffset val="100"/>
        <c:noMultiLvlLbl val="0"/>
      </c:catAx>
      <c:valAx>
        <c:axId val="864328352"/>
        <c:scaling>
          <c:orientation val="minMax"/>
        </c:scaling>
        <c:delete val="1"/>
        <c:axPos val="l"/>
        <c:numFmt formatCode="&quot;$&quot;#,##0" sourceLinked="1"/>
        <c:majorTickMark val="out"/>
        <c:minorTickMark val="none"/>
        <c:tickLblPos val="nextTo"/>
        <c:crossAx val="8643263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[Finance_Dashboard.xlsm]Analysis - Pivot Charts!LineChart</c:name>
    <c:fmtId val="6"/>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rgbClr val="85BB44"/>
            </a:solidFill>
            <a:round/>
          </a:ln>
          <a:effectLst/>
        </c:spPr>
        <c:marker>
          <c:symbol val="circle"/>
          <c:size val="7"/>
          <c:spPr>
            <a:solidFill>
              <a:srgbClr val="85BB44"/>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rgbClr val="EEE05A"/>
            </a:solidFill>
            <a:round/>
          </a:ln>
          <a:effectLst/>
        </c:spPr>
        <c:marker>
          <c:symbol val="circle"/>
          <c:size val="7"/>
          <c:spPr>
            <a:solidFill>
              <a:srgbClr val="EEE05A"/>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rgbClr val="EDBE30"/>
            </a:solidFill>
            <a:round/>
          </a:ln>
          <a:effectLst/>
        </c:spPr>
        <c:marker>
          <c:symbol val="circle"/>
          <c:size val="7"/>
          <c:spPr>
            <a:solidFill>
              <a:srgbClr val="EDBE30"/>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56C9C"/>
            </a:solidFill>
            <a:round/>
          </a:ln>
          <a:effectLst/>
        </c:spPr>
        <c:marker>
          <c:symbol val="circle"/>
          <c:size val="7"/>
          <c:spPr>
            <a:solidFill>
              <a:srgbClr val="F56C9C"/>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rgbClr val="B43DC7"/>
            </a:solidFill>
            <a:round/>
          </a:ln>
          <a:effectLst/>
        </c:spPr>
        <c:marker>
          <c:symbol val="circle"/>
          <c:size val="7"/>
          <c:spPr>
            <a:solidFill>
              <a:srgbClr val="B43DC7"/>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rgbClr val="F09B1F"/>
            </a:solidFill>
            <a:round/>
          </a:ln>
          <a:effectLst/>
        </c:spPr>
        <c:marker>
          <c:symbol val="circle"/>
          <c:size val="7"/>
          <c:spPr>
            <a:solidFill>
              <a:srgbClr val="F09B1F"/>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 - Pivot Charts'!$K$4:$K$5</c:f>
              <c:strCache>
                <c:ptCount val="1"/>
                <c:pt idx="0">
                  <c:v>Living Expenses</c:v>
                </c:pt>
              </c:strCache>
            </c:strRef>
          </c:tx>
          <c:spPr>
            <a:ln w="28575" cap="rnd">
              <a:solidFill>
                <a:srgbClr val="85BB44"/>
              </a:solidFill>
              <a:round/>
            </a:ln>
            <a:effectLst/>
          </c:spPr>
          <c:marker>
            <c:symbol val="circle"/>
            <c:size val="7"/>
            <c:spPr>
              <a:solidFill>
                <a:srgbClr val="85BB44"/>
              </a:solidFill>
              <a:ln w="9525">
                <a:noFill/>
              </a:ln>
              <a:effectLst/>
            </c:spPr>
          </c:marker>
          <c:cat>
            <c:strRef>
              <c:f>'Analysis - Pivot Charts'!$J$6:$J$8</c:f>
              <c:strCache>
                <c:ptCount val="3"/>
                <c:pt idx="0">
                  <c:v>Jul</c:v>
                </c:pt>
                <c:pt idx="1">
                  <c:v>Aug</c:v>
                </c:pt>
                <c:pt idx="2">
                  <c:v>Sep</c:v>
                </c:pt>
              </c:strCache>
            </c:strRef>
          </c:cat>
          <c:val>
            <c:numRef>
              <c:f>'Analysis - Pivot Charts'!$K$6:$K$8</c:f>
              <c:numCache>
                <c:formatCode>"$"#,##0</c:formatCode>
                <c:ptCount val="3"/>
                <c:pt idx="0">
                  <c:v>2139.6099999999988</c:v>
                </c:pt>
                <c:pt idx="1">
                  <c:v>2144.5299999999984</c:v>
                </c:pt>
                <c:pt idx="2">
                  <c:v>2170.7199999999998</c:v>
                </c:pt>
              </c:numCache>
            </c:numRef>
          </c:val>
          <c:smooth val="0"/>
          <c:extLst>
            <c:ext xmlns:c16="http://schemas.microsoft.com/office/drawing/2014/chart" uri="{C3380CC4-5D6E-409C-BE32-E72D297353CC}">
              <c16:uniqueId val="{00000000-E598-DB4C-8D1B-06B68E6F58DA}"/>
            </c:ext>
          </c:extLst>
        </c:ser>
        <c:ser>
          <c:idx val="1"/>
          <c:order val="1"/>
          <c:tx>
            <c:strRef>
              <c:f>'Analysis - Pivot Charts'!$L$4:$L$5</c:f>
              <c:strCache>
                <c:ptCount val="1"/>
                <c:pt idx="0">
                  <c:v>Discretionary</c:v>
                </c:pt>
              </c:strCache>
            </c:strRef>
          </c:tx>
          <c:spPr>
            <a:ln w="28575" cap="rnd">
              <a:solidFill>
                <a:srgbClr val="EEE05A"/>
              </a:solidFill>
              <a:round/>
            </a:ln>
            <a:effectLst/>
          </c:spPr>
          <c:marker>
            <c:symbol val="circle"/>
            <c:size val="7"/>
            <c:spPr>
              <a:solidFill>
                <a:srgbClr val="EEE05A"/>
              </a:solidFill>
              <a:ln w="9525">
                <a:noFill/>
              </a:ln>
              <a:effectLst/>
            </c:spPr>
          </c:marker>
          <c:cat>
            <c:strRef>
              <c:f>'Analysis - Pivot Charts'!$J$6:$J$8</c:f>
              <c:strCache>
                <c:ptCount val="3"/>
                <c:pt idx="0">
                  <c:v>Jul</c:v>
                </c:pt>
                <c:pt idx="1">
                  <c:v>Aug</c:v>
                </c:pt>
                <c:pt idx="2">
                  <c:v>Sep</c:v>
                </c:pt>
              </c:strCache>
            </c:strRef>
          </c:cat>
          <c:val>
            <c:numRef>
              <c:f>'Analysis - Pivot Charts'!$L$6:$L$8</c:f>
              <c:numCache>
                <c:formatCode>"$"#,##0</c:formatCode>
                <c:ptCount val="3"/>
                <c:pt idx="0">
                  <c:v>627.67000000000007</c:v>
                </c:pt>
                <c:pt idx="1">
                  <c:v>385.75</c:v>
                </c:pt>
                <c:pt idx="2">
                  <c:v>408.24</c:v>
                </c:pt>
              </c:numCache>
            </c:numRef>
          </c:val>
          <c:smooth val="0"/>
          <c:extLst>
            <c:ext xmlns:c16="http://schemas.microsoft.com/office/drawing/2014/chart" uri="{C3380CC4-5D6E-409C-BE32-E72D297353CC}">
              <c16:uniqueId val="{00000001-E598-DB4C-8D1B-06B68E6F58DA}"/>
            </c:ext>
          </c:extLst>
        </c:ser>
        <c:ser>
          <c:idx val="2"/>
          <c:order val="2"/>
          <c:tx>
            <c:strRef>
              <c:f>'Analysis - Pivot Charts'!$M$4:$M$5</c:f>
              <c:strCache>
                <c:ptCount val="1"/>
                <c:pt idx="0">
                  <c:v>Transport</c:v>
                </c:pt>
              </c:strCache>
            </c:strRef>
          </c:tx>
          <c:spPr>
            <a:ln w="28575" cap="rnd">
              <a:solidFill>
                <a:srgbClr val="EDBE30"/>
              </a:solidFill>
              <a:round/>
            </a:ln>
            <a:effectLst/>
          </c:spPr>
          <c:marker>
            <c:symbol val="circle"/>
            <c:size val="7"/>
            <c:spPr>
              <a:solidFill>
                <a:srgbClr val="EDBE30"/>
              </a:solidFill>
              <a:ln w="9525">
                <a:solidFill>
                  <a:schemeClr val="accent3"/>
                </a:solidFill>
              </a:ln>
              <a:effectLst/>
            </c:spPr>
          </c:marker>
          <c:cat>
            <c:strRef>
              <c:f>'Analysis - Pivot Charts'!$J$6:$J$8</c:f>
              <c:strCache>
                <c:ptCount val="3"/>
                <c:pt idx="0">
                  <c:v>Jul</c:v>
                </c:pt>
                <c:pt idx="1">
                  <c:v>Aug</c:v>
                </c:pt>
                <c:pt idx="2">
                  <c:v>Sep</c:v>
                </c:pt>
              </c:strCache>
            </c:strRef>
          </c:cat>
          <c:val>
            <c:numRef>
              <c:f>'Analysis - Pivot Charts'!$M$6:$M$8</c:f>
              <c:numCache>
                <c:formatCode>"$"#,##0</c:formatCode>
                <c:ptCount val="3"/>
                <c:pt idx="0">
                  <c:v>494.91999999999996</c:v>
                </c:pt>
                <c:pt idx="1">
                  <c:v>391.35</c:v>
                </c:pt>
                <c:pt idx="2">
                  <c:v>248.18</c:v>
                </c:pt>
              </c:numCache>
            </c:numRef>
          </c:val>
          <c:smooth val="0"/>
          <c:extLst>
            <c:ext xmlns:c16="http://schemas.microsoft.com/office/drawing/2014/chart" uri="{C3380CC4-5D6E-409C-BE32-E72D297353CC}">
              <c16:uniqueId val="{00000002-E598-DB4C-8D1B-06B68E6F58DA}"/>
            </c:ext>
          </c:extLst>
        </c:ser>
        <c:ser>
          <c:idx val="3"/>
          <c:order val="3"/>
          <c:tx>
            <c:strRef>
              <c:f>'Analysis - Pivot Charts'!$N$4:$N$5</c:f>
              <c:strCache>
                <c:ptCount val="1"/>
                <c:pt idx="0">
                  <c:v>Dining Out</c:v>
                </c:pt>
              </c:strCache>
            </c:strRef>
          </c:tx>
          <c:spPr>
            <a:ln w="28575" cap="rnd">
              <a:solidFill>
                <a:srgbClr val="F56C9C"/>
              </a:solidFill>
              <a:round/>
            </a:ln>
            <a:effectLst/>
          </c:spPr>
          <c:marker>
            <c:symbol val="circle"/>
            <c:size val="7"/>
            <c:spPr>
              <a:solidFill>
                <a:srgbClr val="F56C9C"/>
              </a:solidFill>
              <a:ln w="9525">
                <a:noFill/>
              </a:ln>
              <a:effectLst/>
            </c:spPr>
          </c:marker>
          <c:cat>
            <c:strRef>
              <c:f>'Analysis - Pivot Charts'!$J$6:$J$8</c:f>
              <c:strCache>
                <c:ptCount val="3"/>
                <c:pt idx="0">
                  <c:v>Jul</c:v>
                </c:pt>
                <c:pt idx="1">
                  <c:v>Aug</c:v>
                </c:pt>
                <c:pt idx="2">
                  <c:v>Sep</c:v>
                </c:pt>
              </c:strCache>
            </c:strRef>
          </c:cat>
          <c:val>
            <c:numRef>
              <c:f>'Analysis - Pivot Charts'!$N$6:$N$8</c:f>
              <c:numCache>
                <c:formatCode>"$"#,##0</c:formatCode>
                <c:ptCount val="3"/>
                <c:pt idx="0">
                  <c:v>228.05000000000004</c:v>
                </c:pt>
                <c:pt idx="1">
                  <c:v>476.96</c:v>
                </c:pt>
                <c:pt idx="2">
                  <c:v>164.11</c:v>
                </c:pt>
              </c:numCache>
            </c:numRef>
          </c:val>
          <c:smooth val="0"/>
          <c:extLst>
            <c:ext xmlns:c16="http://schemas.microsoft.com/office/drawing/2014/chart" uri="{C3380CC4-5D6E-409C-BE32-E72D297353CC}">
              <c16:uniqueId val="{00000003-E598-DB4C-8D1B-06B68E6F58DA}"/>
            </c:ext>
          </c:extLst>
        </c:ser>
        <c:ser>
          <c:idx val="4"/>
          <c:order val="4"/>
          <c:tx>
            <c:strRef>
              <c:f>'Analysis - Pivot Charts'!$O$4:$O$5</c:f>
              <c:strCache>
                <c:ptCount val="1"/>
                <c:pt idx="0">
                  <c:v>Medical</c:v>
                </c:pt>
              </c:strCache>
            </c:strRef>
          </c:tx>
          <c:spPr>
            <a:ln w="28575" cap="rnd">
              <a:solidFill>
                <a:srgbClr val="B43DC7"/>
              </a:solidFill>
              <a:round/>
            </a:ln>
            <a:effectLst/>
          </c:spPr>
          <c:marker>
            <c:symbol val="circle"/>
            <c:size val="7"/>
            <c:spPr>
              <a:solidFill>
                <a:srgbClr val="B43DC7"/>
              </a:solidFill>
              <a:ln w="9525">
                <a:noFill/>
              </a:ln>
              <a:effectLst/>
            </c:spPr>
          </c:marker>
          <c:cat>
            <c:strRef>
              <c:f>'Analysis - Pivot Charts'!$J$6:$J$8</c:f>
              <c:strCache>
                <c:ptCount val="3"/>
                <c:pt idx="0">
                  <c:v>Jul</c:v>
                </c:pt>
                <c:pt idx="1">
                  <c:v>Aug</c:v>
                </c:pt>
                <c:pt idx="2">
                  <c:v>Sep</c:v>
                </c:pt>
              </c:strCache>
            </c:strRef>
          </c:cat>
          <c:val>
            <c:numRef>
              <c:f>'Analysis - Pivot Charts'!$O$6:$O$8</c:f>
              <c:numCache>
                <c:formatCode>"$"#,##0</c:formatCode>
                <c:ptCount val="3"/>
                <c:pt idx="0">
                  <c:v>152.63999999999999</c:v>
                </c:pt>
                <c:pt idx="1">
                  <c:v>113.66</c:v>
                </c:pt>
                <c:pt idx="2">
                  <c:v>48.1</c:v>
                </c:pt>
              </c:numCache>
            </c:numRef>
          </c:val>
          <c:smooth val="0"/>
          <c:extLst>
            <c:ext xmlns:c16="http://schemas.microsoft.com/office/drawing/2014/chart" uri="{C3380CC4-5D6E-409C-BE32-E72D297353CC}">
              <c16:uniqueId val="{00000004-E598-DB4C-8D1B-06B68E6F58DA}"/>
            </c:ext>
          </c:extLst>
        </c:ser>
        <c:ser>
          <c:idx val="5"/>
          <c:order val="5"/>
          <c:tx>
            <c:strRef>
              <c:f>'Analysis - Pivot Charts'!$P$4:$P$5</c:f>
              <c:strCache>
                <c:ptCount val="1"/>
                <c:pt idx="0">
                  <c:v>Donations</c:v>
                </c:pt>
              </c:strCache>
            </c:strRef>
          </c:tx>
          <c:spPr>
            <a:ln w="28575" cap="rnd">
              <a:solidFill>
                <a:srgbClr val="F09B1F"/>
              </a:solidFill>
              <a:round/>
            </a:ln>
            <a:effectLst/>
          </c:spPr>
          <c:marker>
            <c:symbol val="circle"/>
            <c:size val="7"/>
            <c:spPr>
              <a:solidFill>
                <a:srgbClr val="F09B1F"/>
              </a:solidFill>
              <a:ln w="9525">
                <a:noFill/>
              </a:ln>
              <a:effectLst/>
            </c:spPr>
          </c:marker>
          <c:cat>
            <c:strRef>
              <c:f>'Analysis - Pivot Charts'!$J$6:$J$8</c:f>
              <c:strCache>
                <c:ptCount val="3"/>
                <c:pt idx="0">
                  <c:v>Jul</c:v>
                </c:pt>
                <c:pt idx="1">
                  <c:v>Aug</c:v>
                </c:pt>
                <c:pt idx="2">
                  <c:v>Sep</c:v>
                </c:pt>
              </c:strCache>
            </c:strRef>
          </c:cat>
          <c:val>
            <c:numRef>
              <c:f>'Analysis - Pivot Charts'!$P$6:$P$8</c:f>
              <c:numCache>
                <c:formatCode>"$"#,##0</c:formatCode>
                <c:ptCount val="3"/>
                <c:pt idx="1">
                  <c:v>222</c:v>
                </c:pt>
                <c:pt idx="2">
                  <c:v>85</c:v>
                </c:pt>
              </c:numCache>
            </c:numRef>
          </c:val>
          <c:smooth val="0"/>
          <c:extLst>
            <c:ext xmlns:c16="http://schemas.microsoft.com/office/drawing/2014/chart" uri="{C3380CC4-5D6E-409C-BE32-E72D297353CC}">
              <c16:uniqueId val="{00000005-E598-DB4C-8D1B-06B68E6F58DA}"/>
            </c:ext>
          </c:extLst>
        </c:ser>
        <c:dLbls>
          <c:showLegendKey val="0"/>
          <c:showVal val="0"/>
          <c:showCatName val="0"/>
          <c:showSerName val="0"/>
          <c:showPercent val="0"/>
          <c:showBubbleSize val="0"/>
        </c:dLbls>
        <c:marker val="1"/>
        <c:smooth val="0"/>
        <c:axId val="872189216"/>
        <c:axId val="871904880"/>
      </c:lineChart>
      <c:catAx>
        <c:axId val="872189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bg1"/>
                </a:solidFill>
                <a:latin typeface="+mn-lt"/>
                <a:ea typeface="+mn-ea"/>
                <a:cs typeface="+mn-cs"/>
              </a:defRPr>
            </a:pPr>
            <a:endParaRPr lang="en-US"/>
          </a:p>
        </c:txPr>
        <c:crossAx val="871904880"/>
        <c:crosses val="autoZero"/>
        <c:auto val="1"/>
        <c:lblAlgn val="ctr"/>
        <c:lblOffset val="100"/>
        <c:noMultiLvlLbl val="0"/>
      </c:catAx>
      <c:valAx>
        <c:axId val="871904880"/>
        <c:scaling>
          <c:orientation val="minMax"/>
        </c:scaling>
        <c:delete val="0"/>
        <c:axPos val="l"/>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bg1"/>
                </a:solidFill>
                <a:latin typeface="+mn-lt"/>
                <a:ea typeface="+mn-ea"/>
                <a:cs typeface="+mn-cs"/>
              </a:defRPr>
            </a:pPr>
            <a:endParaRPr lang="en-US"/>
          </a:p>
        </c:txPr>
        <c:crossAx val="872189216"/>
        <c:crosses val="autoZero"/>
        <c:crossBetween val="between"/>
      </c:valAx>
      <c:spPr>
        <a:noFill/>
        <a:ln>
          <a:noFill/>
        </a:ln>
        <a:effectLst/>
      </c:spPr>
    </c:plotArea>
    <c:legend>
      <c:legendPos val="t"/>
      <c:layout>
        <c:manualLayout>
          <c:xMode val="edge"/>
          <c:yMode val="edge"/>
          <c:x val="1.389642354617659E-2"/>
          <c:y val="1.7110284089097427E-2"/>
          <c:w val="0.97220715290764681"/>
          <c:h val="0.13301090252931316"/>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[Finance_Dashboard.xlsm]Analysis - Pivot Charts!Top5</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FF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7504349093904519"/>
          <c:y val="0.25908542805008355"/>
          <c:w val="0.45627522009378729"/>
          <c:h val="0.70737797853321949"/>
        </c:manualLayout>
      </c:layout>
      <c:barChart>
        <c:barDir val="bar"/>
        <c:grouping val="clustered"/>
        <c:varyColors val="0"/>
        <c:ser>
          <c:idx val="0"/>
          <c:order val="0"/>
          <c:tx>
            <c:strRef>
              <c:f>'Analysis - Pivot Charts'!$H$27</c:f>
              <c:strCache>
                <c:ptCount val="1"/>
                <c:pt idx="0">
                  <c:v>Total</c:v>
                </c:pt>
              </c:strCache>
            </c:strRef>
          </c:tx>
          <c:spPr>
            <a:solidFill>
              <a:srgbClr val="FFFF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 Pivot Charts'!$G$28:$G$32</c:f>
              <c:strCache>
                <c:ptCount val="5"/>
                <c:pt idx="0">
                  <c:v>Books/Education</c:v>
                </c:pt>
                <c:pt idx="1">
                  <c:v>Gasoline</c:v>
                </c:pt>
                <c:pt idx="2">
                  <c:v>Dining Out</c:v>
                </c:pt>
                <c:pt idx="3">
                  <c:v>Groceries and home supplies</c:v>
                </c:pt>
                <c:pt idx="4">
                  <c:v>Rent</c:v>
                </c:pt>
              </c:strCache>
            </c:strRef>
          </c:cat>
          <c:val>
            <c:numRef>
              <c:f>'Analysis - Pivot Charts'!$H$28:$H$32</c:f>
              <c:numCache>
                <c:formatCode>"$"#,##0</c:formatCode>
                <c:ptCount val="5"/>
                <c:pt idx="0">
                  <c:v>568.61</c:v>
                </c:pt>
                <c:pt idx="1">
                  <c:v>817.65</c:v>
                </c:pt>
                <c:pt idx="2">
                  <c:v>869.11999999999989</c:v>
                </c:pt>
                <c:pt idx="3">
                  <c:v>1701.6000000000006</c:v>
                </c:pt>
                <c:pt idx="4">
                  <c:v>3000</c:v>
                </c:pt>
              </c:numCache>
            </c:numRef>
          </c:val>
          <c:extLst>
            <c:ext xmlns:c16="http://schemas.microsoft.com/office/drawing/2014/chart" uri="{C3380CC4-5D6E-409C-BE32-E72D297353CC}">
              <c16:uniqueId val="{00000017-4958-7F4B-9488-1F85D59C19D1}"/>
            </c:ext>
          </c:extLst>
        </c:ser>
        <c:dLbls>
          <c:showLegendKey val="0"/>
          <c:showVal val="0"/>
          <c:showCatName val="0"/>
          <c:showSerName val="0"/>
          <c:showPercent val="0"/>
          <c:showBubbleSize val="0"/>
        </c:dLbls>
        <c:gapWidth val="100"/>
        <c:axId val="962990351"/>
        <c:axId val="1070826239"/>
      </c:barChart>
      <c:catAx>
        <c:axId val="9629903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bg1"/>
                </a:solidFill>
                <a:latin typeface="+mn-lt"/>
                <a:ea typeface="+mn-ea"/>
                <a:cs typeface="+mn-cs"/>
              </a:defRPr>
            </a:pPr>
            <a:endParaRPr lang="en-US"/>
          </a:p>
        </c:txPr>
        <c:crossAx val="1070826239"/>
        <c:crosses val="autoZero"/>
        <c:auto val="1"/>
        <c:lblAlgn val="ctr"/>
        <c:lblOffset val="100"/>
        <c:noMultiLvlLbl val="0"/>
      </c:catAx>
      <c:valAx>
        <c:axId val="1070826239"/>
        <c:scaling>
          <c:orientation val="minMax"/>
        </c:scaling>
        <c:delete val="1"/>
        <c:axPos val="b"/>
        <c:numFmt formatCode="&quot;$&quot;#,##0" sourceLinked="1"/>
        <c:majorTickMark val="none"/>
        <c:minorTickMark val="none"/>
        <c:tickLblPos val="nextTo"/>
        <c:crossAx val="9629903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_xlchart.v5.0</cx:f>
      </cx:strDim>
      <cx:numDim type="val">
        <cx:f>_xlchart.v5.2</cx:f>
      </cx:numDim>
    </cx:data>
  </cx:chartData>
  <cx:chart>
    <cx:plotArea>
      <cx:plotAreaRegion>
        <cx:series layoutId="waterfall" uniqueId="{F02F0E3A-B0D4-3746-A61B-91B029C773EE}">
          <cx:tx>
            <cx:txData>
              <cx:f>_xlchart.v5.1</cx:f>
              <cx:v>Sum of Amount</cx:v>
            </cx:txData>
          </cx:tx>
          <cx:dataPt idx="0"/>
          <cx:dataPt idx="2"/>
          <cx:dataPt idx="4"/>
          <cx:dataPt idx="7"/>
          <cx:dataLabels>
            <cx:txPr>
              <a:bodyPr spcFirstLastPara="1" vertOverflow="ellipsis" horzOverflow="overflow" wrap="square" lIns="0" tIns="0" rIns="0" bIns="0" anchor="ctr" anchorCtr="1"/>
              <a:lstStyle/>
              <a:p>
                <a:pPr algn="ctr" rtl="0">
                  <a:defRPr sz="1400">
                    <a:solidFill>
                      <a:schemeClr val="bg1"/>
                    </a:solidFill>
                  </a:defRPr>
                </a:pPr>
                <a:endParaRPr lang="en-US" sz="1400" b="0" i="0" u="none" strike="noStrike" baseline="0">
                  <a:solidFill>
                    <a:schemeClr val="bg1"/>
                  </a:solidFill>
                  <a:latin typeface="Arial" panose="020B0604020202020204"/>
                </a:endParaRPr>
              </a:p>
            </cx:txPr>
          </cx:dataLabels>
          <cx:dataId val="0"/>
          <cx:layoutPr>
            <cx:subtotals>
              <cx:idx val="7"/>
            </cx:subtotals>
          </cx:layoutPr>
        </cx:series>
      </cx:plotAreaRegion>
      <cx:axis id="0">
        <cx:catScaling gapWidth="0.5"/>
        <cx:tickLabels/>
        <cx:txPr>
          <a:bodyPr spcFirstLastPara="1" vertOverflow="ellipsis" horzOverflow="overflow" wrap="square" lIns="0" tIns="0" rIns="0" bIns="0" anchor="ctr" anchorCtr="1"/>
          <a:lstStyle/>
          <a:p>
            <a:pPr algn="ctr" rtl="0">
              <a:defRPr sz="1400">
                <a:solidFill>
                  <a:schemeClr val="bg1"/>
                </a:solidFill>
              </a:defRPr>
            </a:pPr>
            <a:endParaRPr lang="en-US" sz="1400" b="0" i="0" u="none" strike="noStrike" baseline="0">
              <a:solidFill>
                <a:schemeClr val="bg1"/>
              </a:solidFill>
              <a:latin typeface="Arial" panose="020B0604020202020204"/>
            </a:endParaRPr>
          </a:p>
        </cx:txPr>
      </cx:axis>
      <cx:axis id="1" hidden="1">
        <cx:valScaling/>
        <cx:tickLabels/>
      </cx:axis>
    </cx:plotArea>
    <cx:legend pos="b" align="ctr" overlay="0">
      <cx:txPr>
        <a:bodyPr spcFirstLastPara="1" vertOverflow="ellipsis" horzOverflow="overflow" wrap="square" lIns="0" tIns="0" rIns="0" bIns="0" anchor="ctr" anchorCtr="1"/>
        <a:lstStyle/>
        <a:p>
          <a:pPr algn="ctr" rtl="0">
            <a:defRPr sz="1400">
              <a:solidFill>
                <a:schemeClr val="bg1"/>
              </a:solidFill>
            </a:defRPr>
          </a:pPr>
          <a:endParaRPr lang="en-US" sz="1400" b="0" i="0" u="none" strike="noStrike" baseline="0">
            <a:solidFill>
              <a:schemeClr val="bg1"/>
            </a:solidFill>
            <a:latin typeface="Arial" panose="020B0604020202020204"/>
          </a:endParaRPr>
        </a:p>
      </cx:txPr>
    </cx:legend>
  </cx:chart>
  <cx:spPr>
    <a:noFill/>
    <a:ln>
      <a:noFill/>
    </a:ln>
  </cx:spPr>
  <cx:fmtOvrs>
    <cx:fmtOvr idx="0">
      <cx:spPr>
        <a:solidFill>
          <a:srgbClr val="BDCF31"/>
        </a:solidFill>
      </cx:spPr>
    </cx:fmtOvr>
    <cx:fmtOvr idx="1">
      <cx:spPr>
        <a:solidFill>
          <a:srgbClr val="EB5443"/>
        </a:solidFill>
      </cx:spPr>
    </cx:fmtOvr>
    <cx:fmtOvr idx="2">
      <cx:spPr>
        <a:solidFill>
          <a:srgbClr val="3BAEEF"/>
        </a:solidFill>
      </cx:spPr>
    </cx:fmtOvr>
  </cx:fmtOvrs>
</cx: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chart" Target="../charts/chart1.xml"/><Relationship Id="rId18" Type="http://schemas.openxmlformats.org/officeDocument/2006/relationships/chart" Target="../charts/chart4.xml"/><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chart" Target="../charts/chart3.xml"/><Relationship Id="rId2" Type="http://schemas.openxmlformats.org/officeDocument/2006/relationships/image" Target="../media/image2.svg"/><Relationship Id="rId16" Type="http://schemas.openxmlformats.org/officeDocument/2006/relationships/chart" Target="../charts/chart2.xml"/><Relationship Id="rId20" Type="http://schemas.openxmlformats.org/officeDocument/2006/relationships/chart" Target="../charts/chart5.xml"/><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4.svg"/><Relationship Id="rId10" Type="http://schemas.openxmlformats.org/officeDocument/2006/relationships/image" Target="../media/image10.svg"/><Relationship Id="rId19" Type="http://schemas.microsoft.com/office/2014/relationships/chartEx" Target="../charts/chartEx1.xml"/><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3.png"/></Relationships>
</file>

<file path=xl/drawings/drawing1.xml><?xml version="1.0" encoding="utf-8"?>
<xdr:wsDr xmlns:xdr="http://schemas.openxmlformats.org/drawingml/2006/spreadsheetDrawing" xmlns:a="http://schemas.openxmlformats.org/drawingml/2006/main">
  <xdr:twoCellAnchor>
    <xdr:from>
      <xdr:col>0</xdr:col>
      <xdr:colOff>12700</xdr:colOff>
      <xdr:row>0</xdr:row>
      <xdr:rowOff>0</xdr:rowOff>
    </xdr:from>
    <xdr:to>
      <xdr:col>23</xdr:col>
      <xdr:colOff>923637</xdr:colOff>
      <xdr:row>3</xdr:row>
      <xdr:rowOff>0</xdr:rowOff>
    </xdr:to>
    <xdr:sp macro="" textlink="">
      <xdr:nvSpPr>
        <xdr:cNvPr id="2" name="Rectangle 1">
          <a:extLst>
            <a:ext uri="{FF2B5EF4-FFF2-40B4-BE49-F238E27FC236}">
              <a16:creationId xmlns:a16="http://schemas.microsoft.com/office/drawing/2014/main" id="{522FB219-A9FB-3DE3-4532-A13F7623510C}"/>
            </a:ext>
          </a:extLst>
        </xdr:cNvPr>
        <xdr:cNvSpPr/>
      </xdr:nvSpPr>
      <xdr:spPr>
        <a:xfrm>
          <a:off x="12700" y="0"/>
          <a:ext cx="21281737" cy="1236133"/>
        </a:xfrm>
        <a:prstGeom prst="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3200" b="1" baseline="0">
              <a:solidFill>
                <a:schemeClr val="bg1"/>
              </a:solidFill>
            </a:rPr>
            <a:t>P</a:t>
          </a:r>
          <a:r>
            <a:rPr lang="en-US" sz="3200" b="1">
              <a:solidFill>
                <a:schemeClr val="bg1"/>
              </a:solidFill>
            </a:rPr>
            <a:t>ersonal Finance Dashboard</a:t>
          </a:r>
        </a:p>
        <a:p>
          <a:pPr algn="l"/>
          <a:r>
            <a:rPr lang="en-US" sz="2400" b="1">
              <a:solidFill>
                <a:schemeClr val="bg1"/>
              </a:solidFill>
            </a:rPr>
            <a:t>July-September</a:t>
          </a:r>
          <a:r>
            <a:rPr lang="en-US" sz="2400" b="1" baseline="0">
              <a:solidFill>
                <a:schemeClr val="bg1"/>
              </a:solidFill>
            </a:rPr>
            <a:t> 2023</a:t>
          </a:r>
          <a:endParaRPr lang="en-US" sz="2400" b="1">
            <a:solidFill>
              <a:schemeClr val="bg1"/>
            </a:solidFill>
          </a:endParaRPr>
        </a:p>
      </xdr:txBody>
    </xdr:sp>
    <xdr:clientData/>
  </xdr:twoCellAnchor>
  <xdr:twoCellAnchor>
    <xdr:from>
      <xdr:col>20</xdr:col>
      <xdr:colOff>71383</xdr:colOff>
      <xdr:row>0</xdr:row>
      <xdr:rowOff>105266</xdr:rowOff>
    </xdr:from>
    <xdr:to>
      <xdr:col>20</xdr:col>
      <xdr:colOff>847255</xdr:colOff>
      <xdr:row>1</xdr:row>
      <xdr:rowOff>208</xdr:rowOff>
    </xdr:to>
    <xdr:pic>
      <xdr:nvPicPr>
        <xdr:cNvPr id="4" name="Graphic 3" descr="Medical outline">
          <a:extLst>
            <a:ext uri="{FF2B5EF4-FFF2-40B4-BE49-F238E27FC236}">
              <a16:creationId xmlns:a16="http://schemas.microsoft.com/office/drawing/2014/main" id="{C76AA89F-9796-4158-32FC-135213A67BC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7597383" y="105266"/>
          <a:ext cx="775872" cy="724675"/>
        </a:xfrm>
        <a:prstGeom prst="rect">
          <a:avLst/>
        </a:prstGeom>
      </xdr:spPr>
    </xdr:pic>
    <xdr:clientData/>
  </xdr:twoCellAnchor>
  <xdr:twoCellAnchor>
    <xdr:from>
      <xdr:col>22</xdr:col>
      <xdr:colOff>279875</xdr:colOff>
      <xdr:row>0</xdr:row>
      <xdr:rowOff>105266</xdr:rowOff>
    </xdr:from>
    <xdr:to>
      <xdr:col>23</xdr:col>
      <xdr:colOff>85943</xdr:colOff>
      <xdr:row>1</xdr:row>
      <xdr:rowOff>208</xdr:rowOff>
    </xdr:to>
    <xdr:pic>
      <xdr:nvPicPr>
        <xdr:cNvPr id="6" name="Graphic 5" descr="Philanthropy outline">
          <a:extLst>
            <a:ext uri="{FF2B5EF4-FFF2-40B4-BE49-F238E27FC236}">
              <a16:creationId xmlns:a16="http://schemas.microsoft.com/office/drawing/2014/main" id="{3B58E6CF-C952-7181-92EA-3B4305CF137C}"/>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9702408" y="105266"/>
          <a:ext cx="754335" cy="724675"/>
        </a:xfrm>
        <a:prstGeom prst="rect">
          <a:avLst/>
        </a:prstGeom>
      </xdr:spPr>
    </xdr:pic>
    <xdr:clientData/>
  </xdr:twoCellAnchor>
  <xdr:twoCellAnchor>
    <xdr:from>
      <xdr:col>15</xdr:col>
      <xdr:colOff>576195</xdr:colOff>
      <xdr:row>0</xdr:row>
      <xdr:rowOff>0</xdr:rowOff>
    </xdr:from>
    <xdr:to>
      <xdr:col>16</xdr:col>
      <xdr:colOff>389467</xdr:colOff>
      <xdr:row>1</xdr:row>
      <xdr:rowOff>105474</xdr:rowOff>
    </xdr:to>
    <xdr:pic>
      <xdr:nvPicPr>
        <xdr:cNvPr id="10" name="Graphic 9" descr="Car outline">
          <a:extLst>
            <a:ext uri="{FF2B5EF4-FFF2-40B4-BE49-F238E27FC236}">
              <a16:creationId xmlns:a16="http://schemas.microsoft.com/office/drawing/2014/main" id="{834F0528-1729-8873-D373-E971B34D15E1}"/>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3360862" y="0"/>
          <a:ext cx="761538" cy="935207"/>
        </a:xfrm>
        <a:prstGeom prst="rect">
          <a:avLst/>
        </a:prstGeom>
      </xdr:spPr>
    </xdr:pic>
    <xdr:clientData/>
  </xdr:twoCellAnchor>
  <xdr:twoCellAnchor>
    <xdr:from>
      <xdr:col>10</xdr:col>
      <xdr:colOff>433529</xdr:colOff>
      <xdr:row>0</xdr:row>
      <xdr:rowOff>37534</xdr:rowOff>
    </xdr:from>
    <xdr:to>
      <xdr:col>11</xdr:col>
      <xdr:colOff>214224</xdr:colOff>
      <xdr:row>0</xdr:row>
      <xdr:rowOff>762209</xdr:rowOff>
    </xdr:to>
    <xdr:pic>
      <xdr:nvPicPr>
        <xdr:cNvPr id="12" name="Graphic 11" descr="Home outline">
          <a:extLst>
            <a:ext uri="{FF2B5EF4-FFF2-40B4-BE49-F238E27FC236}">
              <a16:creationId xmlns:a16="http://schemas.microsoft.com/office/drawing/2014/main" id="{D5E7AAC0-E6F0-69F8-DE3B-F8299272C8CA}"/>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9204996" y="37534"/>
          <a:ext cx="728961" cy="724675"/>
        </a:xfrm>
        <a:prstGeom prst="rect">
          <a:avLst/>
        </a:prstGeom>
      </xdr:spPr>
    </xdr:pic>
    <xdr:clientData/>
  </xdr:twoCellAnchor>
  <xdr:twoCellAnchor>
    <xdr:from>
      <xdr:col>13</xdr:col>
      <xdr:colOff>335640</xdr:colOff>
      <xdr:row>0</xdr:row>
      <xdr:rowOff>234950</xdr:rowOff>
    </xdr:from>
    <xdr:to>
      <xdr:col>15</xdr:col>
      <xdr:colOff>327174</xdr:colOff>
      <xdr:row>0</xdr:row>
      <xdr:rowOff>590550</xdr:rowOff>
    </xdr:to>
    <xdr:sp macro="" textlink="'Analysis - Pivot Charts'!B4">
      <xdr:nvSpPr>
        <xdr:cNvPr id="13" name="TextBox 12">
          <a:extLst>
            <a:ext uri="{FF2B5EF4-FFF2-40B4-BE49-F238E27FC236}">
              <a16:creationId xmlns:a16="http://schemas.microsoft.com/office/drawing/2014/main" id="{ECBFA3AE-BBC3-D7B6-293A-8C6E7BABED1D}"/>
            </a:ext>
          </a:extLst>
        </xdr:cNvPr>
        <xdr:cNvSpPr txBox="1"/>
      </xdr:nvSpPr>
      <xdr:spPr>
        <a:xfrm>
          <a:off x="11951907" y="234950"/>
          <a:ext cx="1159934"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31DD22F-E410-5D49-AEE7-675D956EC765}" type="TxLink">
            <a:rPr lang="en-US" sz="2000" b="0" i="0" u="none" strike="noStrike">
              <a:solidFill>
                <a:schemeClr val="bg1"/>
              </a:solidFill>
              <a:latin typeface="Calibri"/>
              <a:ea typeface="+mn-ea"/>
              <a:cs typeface="Calibri"/>
            </a:rPr>
            <a:pPr marL="0" indent="0"/>
            <a:t>$1,422</a:t>
          </a:fld>
          <a:endParaRPr lang="en-US" sz="2000" b="0" i="0" u="none" strike="noStrike">
            <a:solidFill>
              <a:schemeClr val="bg1"/>
            </a:solidFill>
            <a:latin typeface="Calibri"/>
            <a:ea typeface="+mn-ea"/>
            <a:cs typeface="Calibri"/>
          </a:endParaRPr>
        </a:p>
      </xdr:txBody>
    </xdr:sp>
    <xdr:clientData/>
  </xdr:twoCellAnchor>
  <xdr:twoCellAnchor>
    <xdr:from>
      <xdr:col>12</xdr:col>
      <xdr:colOff>746302</xdr:colOff>
      <xdr:row>0</xdr:row>
      <xdr:rowOff>762000</xdr:rowOff>
    </xdr:from>
    <xdr:to>
      <xdr:col>15</xdr:col>
      <xdr:colOff>453937</xdr:colOff>
      <xdr:row>2</xdr:row>
      <xdr:rowOff>138732</xdr:rowOff>
    </xdr:to>
    <xdr:sp macro="" textlink="">
      <xdr:nvSpPr>
        <xdr:cNvPr id="14" name="TextBox 13">
          <a:extLst>
            <a:ext uri="{FF2B5EF4-FFF2-40B4-BE49-F238E27FC236}">
              <a16:creationId xmlns:a16="http://schemas.microsoft.com/office/drawing/2014/main" id="{CBC65085-BBF0-6764-0AE2-AF7BC7A65486}"/>
            </a:ext>
          </a:extLst>
        </xdr:cNvPr>
        <xdr:cNvSpPr txBox="1"/>
      </xdr:nvSpPr>
      <xdr:spPr>
        <a:xfrm>
          <a:off x="11414302" y="762000"/>
          <a:ext cx="1824302" cy="4096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800">
              <a:solidFill>
                <a:schemeClr val="bg1"/>
              </a:solidFill>
            </a:rPr>
            <a:t>Discretionary</a:t>
          </a:r>
        </a:p>
      </xdr:txBody>
    </xdr:sp>
    <xdr:clientData/>
  </xdr:twoCellAnchor>
  <xdr:twoCellAnchor>
    <xdr:from>
      <xdr:col>23</xdr:col>
      <xdr:colOff>96880</xdr:colOff>
      <xdr:row>0</xdr:row>
      <xdr:rowOff>234950</xdr:rowOff>
    </xdr:from>
    <xdr:to>
      <xdr:col>24</xdr:col>
      <xdr:colOff>287380</xdr:colOff>
      <xdr:row>0</xdr:row>
      <xdr:rowOff>590550</xdr:rowOff>
    </xdr:to>
    <xdr:sp macro="" textlink="'Analysis - Pivot Charts'!B8">
      <xdr:nvSpPr>
        <xdr:cNvPr id="15" name="TextBox 14">
          <a:extLst>
            <a:ext uri="{FF2B5EF4-FFF2-40B4-BE49-F238E27FC236}">
              <a16:creationId xmlns:a16="http://schemas.microsoft.com/office/drawing/2014/main" id="{80AEF362-1A3A-D2FB-0307-51FBB0E9F7A5}"/>
            </a:ext>
          </a:extLst>
        </xdr:cNvPr>
        <xdr:cNvSpPr txBox="1"/>
      </xdr:nvSpPr>
      <xdr:spPr>
        <a:xfrm>
          <a:off x="20467680" y="234950"/>
          <a:ext cx="1138767"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185A3085-3ED4-AC44-85FE-9F81AAA3E093}" type="TxLink">
            <a:rPr lang="en-US" sz="2000" b="0" i="0" u="none" strike="noStrike">
              <a:solidFill>
                <a:schemeClr val="bg1"/>
              </a:solidFill>
              <a:latin typeface="Calibri"/>
              <a:ea typeface="+mn-ea"/>
              <a:cs typeface="Calibri"/>
            </a:rPr>
            <a:pPr marL="0" indent="0"/>
            <a:t>$307</a:t>
          </a:fld>
          <a:endParaRPr lang="en-US" sz="2000" b="0" i="0" u="none" strike="noStrike">
            <a:solidFill>
              <a:schemeClr val="bg1"/>
            </a:solidFill>
            <a:latin typeface="Calibri"/>
            <a:ea typeface="+mn-ea"/>
            <a:cs typeface="Calibri"/>
          </a:endParaRPr>
        </a:p>
      </xdr:txBody>
    </xdr:sp>
    <xdr:clientData/>
  </xdr:twoCellAnchor>
  <xdr:twoCellAnchor>
    <xdr:from>
      <xdr:col>22</xdr:col>
      <xdr:colOff>368995</xdr:colOff>
      <xdr:row>0</xdr:row>
      <xdr:rowOff>762000</xdr:rowOff>
    </xdr:from>
    <xdr:to>
      <xdr:col>23</xdr:col>
      <xdr:colOff>806602</xdr:colOff>
      <xdr:row>2</xdr:row>
      <xdr:rowOff>138732</xdr:rowOff>
    </xdr:to>
    <xdr:sp macro="" textlink="">
      <xdr:nvSpPr>
        <xdr:cNvPr id="16" name="TextBox 15">
          <a:extLst>
            <a:ext uri="{FF2B5EF4-FFF2-40B4-BE49-F238E27FC236}">
              <a16:creationId xmlns:a16="http://schemas.microsoft.com/office/drawing/2014/main" id="{F73236B5-6EFF-178C-EC3A-D08884C5600C}"/>
            </a:ext>
          </a:extLst>
        </xdr:cNvPr>
        <xdr:cNvSpPr txBox="1"/>
      </xdr:nvSpPr>
      <xdr:spPr>
        <a:xfrm>
          <a:off x="19791528" y="762000"/>
          <a:ext cx="1385874" cy="4096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2000">
              <a:solidFill>
                <a:schemeClr val="bg1"/>
              </a:solidFill>
            </a:rPr>
            <a:t>Donations</a:t>
          </a:r>
        </a:p>
      </xdr:txBody>
    </xdr:sp>
    <xdr:clientData/>
  </xdr:twoCellAnchor>
  <xdr:twoCellAnchor>
    <xdr:from>
      <xdr:col>11</xdr:col>
      <xdr:colOff>182605</xdr:colOff>
      <xdr:row>0</xdr:row>
      <xdr:rowOff>234950</xdr:rowOff>
    </xdr:from>
    <xdr:to>
      <xdr:col>12</xdr:col>
      <xdr:colOff>385805</xdr:colOff>
      <xdr:row>0</xdr:row>
      <xdr:rowOff>590550</xdr:rowOff>
    </xdr:to>
    <xdr:sp macro="" textlink="'Analysis - Pivot Charts'!B3">
      <xdr:nvSpPr>
        <xdr:cNvPr id="17" name="TextBox 16">
          <a:extLst>
            <a:ext uri="{FF2B5EF4-FFF2-40B4-BE49-F238E27FC236}">
              <a16:creationId xmlns:a16="http://schemas.microsoft.com/office/drawing/2014/main" id="{A92FB5EE-B3AC-28C0-BDAF-26B1E923FECB}"/>
            </a:ext>
          </a:extLst>
        </xdr:cNvPr>
        <xdr:cNvSpPr txBox="1"/>
      </xdr:nvSpPr>
      <xdr:spPr>
        <a:xfrm>
          <a:off x="9902338" y="234950"/>
          <a:ext cx="1151467"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A73ACBD-CE68-BC44-8644-53D396C02141}" type="TxLink">
            <a:rPr lang="en-US" sz="2000" b="0" i="0" u="none" strike="noStrike">
              <a:solidFill>
                <a:schemeClr val="bg1"/>
              </a:solidFill>
              <a:latin typeface="Calibri"/>
              <a:ea typeface="+mn-ea"/>
              <a:cs typeface="Calibri"/>
            </a:rPr>
            <a:pPr marL="0" indent="0"/>
            <a:t>$6,455</a:t>
          </a:fld>
          <a:endParaRPr lang="en-US" sz="2000" b="0" i="0" u="none" strike="noStrike">
            <a:solidFill>
              <a:schemeClr val="bg1"/>
            </a:solidFill>
            <a:latin typeface="Calibri"/>
            <a:ea typeface="+mn-ea"/>
            <a:cs typeface="Calibri"/>
          </a:endParaRPr>
        </a:p>
      </xdr:txBody>
    </xdr:sp>
    <xdr:clientData/>
  </xdr:twoCellAnchor>
  <xdr:twoCellAnchor>
    <xdr:from>
      <xdr:col>10</xdr:col>
      <xdr:colOff>313803</xdr:colOff>
      <xdr:row>0</xdr:row>
      <xdr:rowOff>762000</xdr:rowOff>
    </xdr:from>
    <xdr:to>
      <xdr:col>12</xdr:col>
      <xdr:colOff>476702</xdr:colOff>
      <xdr:row>2</xdr:row>
      <xdr:rowOff>138732</xdr:rowOff>
    </xdr:to>
    <xdr:sp macro="" textlink="">
      <xdr:nvSpPr>
        <xdr:cNvPr id="18" name="TextBox 17">
          <a:extLst>
            <a:ext uri="{FF2B5EF4-FFF2-40B4-BE49-F238E27FC236}">
              <a16:creationId xmlns:a16="http://schemas.microsoft.com/office/drawing/2014/main" id="{5F340218-AFE5-7E3D-BFA2-2BC6F938F746}"/>
            </a:ext>
          </a:extLst>
        </xdr:cNvPr>
        <xdr:cNvSpPr txBox="1"/>
      </xdr:nvSpPr>
      <xdr:spPr>
        <a:xfrm>
          <a:off x="9085270" y="762000"/>
          <a:ext cx="2059432" cy="4096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800">
              <a:solidFill>
                <a:schemeClr val="bg1"/>
              </a:solidFill>
            </a:rPr>
            <a:t>Living Expenses</a:t>
          </a:r>
        </a:p>
      </xdr:txBody>
    </xdr:sp>
    <xdr:clientData/>
  </xdr:twoCellAnchor>
  <xdr:twoCellAnchor>
    <xdr:from>
      <xdr:col>20</xdr:col>
      <xdr:colOff>789358</xdr:colOff>
      <xdr:row>0</xdr:row>
      <xdr:rowOff>234950</xdr:rowOff>
    </xdr:from>
    <xdr:to>
      <xdr:col>22</xdr:col>
      <xdr:colOff>180913</xdr:colOff>
      <xdr:row>0</xdr:row>
      <xdr:rowOff>590550</xdr:rowOff>
    </xdr:to>
    <xdr:sp macro="" textlink="'Analysis - Pivot Charts'!B7">
      <xdr:nvSpPr>
        <xdr:cNvPr id="19" name="TextBox 18">
          <a:extLst>
            <a:ext uri="{FF2B5EF4-FFF2-40B4-BE49-F238E27FC236}">
              <a16:creationId xmlns:a16="http://schemas.microsoft.com/office/drawing/2014/main" id="{35428054-B451-673A-042F-BEF81568E564}"/>
            </a:ext>
          </a:extLst>
        </xdr:cNvPr>
        <xdr:cNvSpPr txBox="1"/>
      </xdr:nvSpPr>
      <xdr:spPr>
        <a:xfrm>
          <a:off x="18315358" y="234950"/>
          <a:ext cx="1288088"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7F42134-5EFE-6141-8C2D-2D7F443F9D5F}" type="TxLink">
            <a:rPr lang="en-US" sz="2000" b="0" i="0" u="none" strike="noStrike">
              <a:solidFill>
                <a:schemeClr val="bg1"/>
              </a:solidFill>
              <a:latin typeface="Calibri"/>
              <a:ea typeface="+mn-ea"/>
              <a:cs typeface="Calibri"/>
            </a:rPr>
            <a:pPr marL="0" indent="0"/>
            <a:t>$314</a:t>
          </a:fld>
          <a:endParaRPr lang="en-US" sz="2000" b="0" i="0" u="none" strike="noStrike">
            <a:solidFill>
              <a:schemeClr val="bg1"/>
            </a:solidFill>
            <a:latin typeface="Calibri"/>
            <a:ea typeface="+mn-ea"/>
            <a:cs typeface="Calibri"/>
          </a:endParaRPr>
        </a:p>
      </xdr:txBody>
    </xdr:sp>
    <xdr:clientData/>
  </xdr:twoCellAnchor>
  <xdr:twoCellAnchor>
    <xdr:from>
      <xdr:col>20</xdr:col>
      <xdr:colOff>315959</xdr:colOff>
      <xdr:row>0</xdr:row>
      <xdr:rowOff>762000</xdr:rowOff>
    </xdr:from>
    <xdr:to>
      <xdr:col>21</xdr:col>
      <xdr:colOff>505803</xdr:colOff>
      <xdr:row>2</xdr:row>
      <xdr:rowOff>138732</xdr:rowOff>
    </xdr:to>
    <xdr:sp macro="" textlink="">
      <xdr:nvSpPr>
        <xdr:cNvPr id="20" name="TextBox 19">
          <a:extLst>
            <a:ext uri="{FF2B5EF4-FFF2-40B4-BE49-F238E27FC236}">
              <a16:creationId xmlns:a16="http://schemas.microsoft.com/office/drawing/2014/main" id="{77CCB644-80C6-8628-02E7-647B79305B2D}"/>
            </a:ext>
          </a:extLst>
        </xdr:cNvPr>
        <xdr:cNvSpPr txBox="1"/>
      </xdr:nvSpPr>
      <xdr:spPr>
        <a:xfrm>
          <a:off x="17841959" y="762000"/>
          <a:ext cx="1138111" cy="4096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800">
              <a:solidFill>
                <a:schemeClr val="bg1"/>
              </a:solidFill>
            </a:rPr>
            <a:t>Medical</a:t>
          </a:r>
        </a:p>
      </xdr:txBody>
    </xdr:sp>
    <xdr:clientData/>
  </xdr:twoCellAnchor>
  <xdr:twoCellAnchor>
    <xdr:from>
      <xdr:col>16</xdr:col>
      <xdr:colOff>395544</xdr:colOff>
      <xdr:row>0</xdr:row>
      <xdr:rowOff>234950</xdr:rowOff>
    </xdr:from>
    <xdr:to>
      <xdr:col>17</xdr:col>
      <xdr:colOff>518311</xdr:colOff>
      <xdr:row>0</xdr:row>
      <xdr:rowOff>590550</xdr:rowOff>
    </xdr:to>
    <xdr:sp macro="" textlink="'Analysis - Pivot Charts'!B5">
      <xdr:nvSpPr>
        <xdr:cNvPr id="21" name="TextBox 20">
          <a:extLst>
            <a:ext uri="{FF2B5EF4-FFF2-40B4-BE49-F238E27FC236}">
              <a16:creationId xmlns:a16="http://schemas.microsoft.com/office/drawing/2014/main" id="{A699C830-F584-A4E6-3E4D-246876194240}"/>
            </a:ext>
          </a:extLst>
        </xdr:cNvPr>
        <xdr:cNvSpPr txBox="1"/>
      </xdr:nvSpPr>
      <xdr:spPr>
        <a:xfrm>
          <a:off x="14128477" y="234950"/>
          <a:ext cx="1071034"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76B8F28-DF13-7C4A-A694-B7246574CFC7}" type="TxLink">
            <a:rPr lang="en-US" sz="2000" b="0" i="0" u="none" strike="noStrike">
              <a:solidFill>
                <a:schemeClr val="bg1"/>
              </a:solidFill>
              <a:latin typeface="Calibri"/>
              <a:ea typeface="+mn-ea"/>
              <a:cs typeface="Calibri"/>
            </a:rPr>
            <a:pPr marL="0" indent="0"/>
            <a:t>$1,134</a:t>
          </a:fld>
          <a:endParaRPr lang="en-US" sz="2000" b="0" i="0" u="none" strike="noStrike">
            <a:solidFill>
              <a:schemeClr val="bg1"/>
            </a:solidFill>
            <a:latin typeface="Calibri"/>
            <a:ea typeface="+mn-ea"/>
            <a:cs typeface="Calibri"/>
          </a:endParaRPr>
        </a:p>
      </xdr:txBody>
    </xdr:sp>
    <xdr:clientData/>
  </xdr:twoCellAnchor>
  <xdr:twoCellAnchor>
    <xdr:from>
      <xdr:col>12</xdr:col>
      <xdr:colOff>595110</xdr:colOff>
      <xdr:row>0</xdr:row>
      <xdr:rowOff>131053</xdr:rowOff>
    </xdr:from>
    <xdr:to>
      <xdr:col>13</xdr:col>
      <xdr:colOff>415442</xdr:colOff>
      <xdr:row>0</xdr:row>
      <xdr:rowOff>804154</xdr:rowOff>
    </xdr:to>
    <xdr:pic>
      <xdr:nvPicPr>
        <xdr:cNvPr id="23" name="Graphic 22" descr="Shopping bag outline">
          <a:extLst>
            <a:ext uri="{FF2B5EF4-FFF2-40B4-BE49-F238E27FC236}">
              <a16:creationId xmlns:a16="http://schemas.microsoft.com/office/drawing/2014/main" id="{CDA92390-3B45-EF4F-90AE-CF49144D8DFF}"/>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1263110" y="131053"/>
          <a:ext cx="768599" cy="673101"/>
        </a:xfrm>
        <a:prstGeom prst="rect">
          <a:avLst/>
        </a:prstGeom>
      </xdr:spPr>
    </xdr:pic>
    <xdr:clientData/>
  </xdr:twoCellAnchor>
  <xdr:twoCellAnchor>
    <xdr:from>
      <xdr:col>0</xdr:col>
      <xdr:colOff>186267</xdr:colOff>
      <xdr:row>4</xdr:row>
      <xdr:rowOff>16935</xdr:rowOff>
    </xdr:from>
    <xdr:to>
      <xdr:col>5</xdr:col>
      <xdr:colOff>931334</xdr:colOff>
      <xdr:row>38</xdr:row>
      <xdr:rowOff>0</xdr:rowOff>
    </xdr:to>
    <xdr:sp macro="" textlink="">
      <xdr:nvSpPr>
        <xdr:cNvPr id="30" name="Rounded Rectangle 29">
          <a:extLst>
            <a:ext uri="{FF2B5EF4-FFF2-40B4-BE49-F238E27FC236}">
              <a16:creationId xmlns:a16="http://schemas.microsoft.com/office/drawing/2014/main" id="{B2413780-3C21-97A1-A1AB-15478521B847}"/>
            </a:ext>
          </a:extLst>
        </xdr:cNvPr>
        <xdr:cNvSpPr/>
      </xdr:nvSpPr>
      <xdr:spPr>
        <a:xfrm>
          <a:off x="186267" y="1456268"/>
          <a:ext cx="5486400" cy="6891865"/>
        </a:xfrm>
        <a:prstGeom prst="roundRect">
          <a:avLst>
            <a:gd name="adj" fmla="val 3259"/>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12700</xdr:colOff>
      <xdr:row>0</xdr:row>
      <xdr:rowOff>0</xdr:rowOff>
    </xdr:from>
    <xdr:to>
      <xdr:col>21</xdr:col>
      <xdr:colOff>927100</xdr:colOff>
      <xdr:row>1</xdr:row>
      <xdr:rowOff>88900</xdr:rowOff>
    </xdr:to>
    <xdr:pic>
      <xdr:nvPicPr>
        <xdr:cNvPr id="31" name="Graphic 30" descr="Table setting with solid fill">
          <a:extLst>
            <a:ext uri="{FF2B5EF4-FFF2-40B4-BE49-F238E27FC236}">
              <a16:creationId xmlns:a16="http://schemas.microsoft.com/office/drawing/2014/main" id="{F5228289-B5A5-78F4-B04A-C7F0A7DFE958}"/>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7348200" y="0"/>
          <a:ext cx="914400" cy="914400"/>
        </a:xfrm>
        <a:prstGeom prst="rect">
          <a:avLst/>
        </a:prstGeom>
      </xdr:spPr>
    </xdr:pic>
    <xdr:clientData/>
  </xdr:twoCellAnchor>
  <xdr:twoCellAnchor>
    <xdr:from>
      <xdr:col>0</xdr:col>
      <xdr:colOff>169332</xdr:colOff>
      <xdr:row>40</xdr:row>
      <xdr:rowOff>67734</xdr:rowOff>
    </xdr:from>
    <xdr:to>
      <xdr:col>5</xdr:col>
      <xdr:colOff>931334</xdr:colOff>
      <xdr:row>59</xdr:row>
      <xdr:rowOff>152396</xdr:rowOff>
    </xdr:to>
    <xdr:grpSp>
      <xdr:nvGrpSpPr>
        <xdr:cNvPr id="45" name="Group 44">
          <a:extLst>
            <a:ext uri="{FF2B5EF4-FFF2-40B4-BE49-F238E27FC236}">
              <a16:creationId xmlns:a16="http://schemas.microsoft.com/office/drawing/2014/main" id="{CFF6B4D4-4C37-B1E4-708A-4BC244C94274}"/>
            </a:ext>
          </a:extLst>
        </xdr:cNvPr>
        <xdr:cNvGrpSpPr/>
      </xdr:nvGrpSpPr>
      <xdr:grpSpPr>
        <a:xfrm>
          <a:off x="169332" y="8822267"/>
          <a:ext cx="5503335" cy="3945462"/>
          <a:chOff x="-116515" y="1721319"/>
          <a:chExt cx="6285348" cy="3696422"/>
        </a:xfrm>
        <a:solidFill>
          <a:schemeClr val="tx2"/>
        </a:solidFill>
      </xdr:grpSpPr>
      <xdr:graphicFrame macro="">
        <xdr:nvGraphicFramePr>
          <xdr:cNvPr id="43" name="Chart 42">
            <a:extLst>
              <a:ext uri="{FF2B5EF4-FFF2-40B4-BE49-F238E27FC236}">
                <a16:creationId xmlns:a16="http://schemas.microsoft.com/office/drawing/2014/main" id="{B1ADA0AB-8C82-E046-B331-860945D22A91}"/>
              </a:ext>
            </a:extLst>
          </xdr:cNvPr>
          <xdr:cNvGraphicFramePr>
            <a:graphicFrameLocks/>
          </xdr:cNvGraphicFramePr>
        </xdr:nvGraphicFramePr>
        <xdr:xfrm>
          <a:off x="-116515" y="1721319"/>
          <a:ext cx="6285348" cy="3696422"/>
        </xdr:xfrm>
        <a:graphic>
          <a:graphicData uri="http://schemas.openxmlformats.org/drawingml/2006/chart">
            <c:chart xmlns:c="http://schemas.openxmlformats.org/drawingml/2006/chart" xmlns:r="http://schemas.openxmlformats.org/officeDocument/2006/relationships" r:id="rId13"/>
          </a:graphicData>
        </a:graphic>
      </xdr:graphicFrame>
      <xdr:sp macro="" textlink="'Analysis - Pivot Charts'!B20">
        <xdr:nvSpPr>
          <xdr:cNvPr id="44" name="TextBox 43">
            <a:extLst>
              <a:ext uri="{FF2B5EF4-FFF2-40B4-BE49-F238E27FC236}">
                <a16:creationId xmlns:a16="http://schemas.microsoft.com/office/drawing/2014/main" id="{FECD0CCC-C404-6B4C-6BD0-E0FA6F6476FF}"/>
              </a:ext>
            </a:extLst>
          </xdr:cNvPr>
          <xdr:cNvSpPr txBox="1"/>
        </xdr:nvSpPr>
        <xdr:spPr>
          <a:xfrm>
            <a:off x="2341945" y="3769369"/>
            <a:ext cx="1370769" cy="39507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fld id="{775CE8A8-6D44-9B4F-84A6-8DF76562D04F}" type="TxLink">
              <a:rPr lang="en-US" sz="2000">
                <a:solidFill>
                  <a:schemeClr val="lt1"/>
                </a:solidFill>
                <a:latin typeface="+mn-lt"/>
                <a:ea typeface="+mn-ea"/>
                <a:cs typeface="+mn-cs"/>
              </a:rPr>
              <a:pPr marL="0" indent="0" algn="ctr"/>
              <a:t>$10,501</a:t>
            </a:fld>
            <a:endParaRPr lang="en-US" sz="2000">
              <a:solidFill>
                <a:schemeClr val="lt1"/>
              </a:solidFill>
              <a:latin typeface="+mn-lt"/>
              <a:ea typeface="+mn-ea"/>
              <a:cs typeface="+mn-cs"/>
            </a:endParaRPr>
          </a:p>
        </xdr:txBody>
      </xdr:sp>
    </xdr:grpSp>
    <xdr:clientData/>
  </xdr:twoCellAnchor>
  <xdr:twoCellAnchor>
    <xdr:from>
      <xdr:col>17</xdr:col>
      <xdr:colOff>717448</xdr:colOff>
      <xdr:row>0</xdr:row>
      <xdr:rowOff>8287</xdr:rowOff>
    </xdr:from>
    <xdr:to>
      <xdr:col>18</xdr:col>
      <xdr:colOff>757294</xdr:colOff>
      <xdr:row>1</xdr:row>
      <xdr:rowOff>97187</xdr:rowOff>
    </xdr:to>
    <xdr:pic>
      <xdr:nvPicPr>
        <xdr:cNvPr id="33" name="Graphic 32" descr="Table setting with solid fill">
          <a:extLst>
            <a:ext uri="{FF2B5EF4-FFF2-40B4-BE49-F238E27FC236}">
              <a16:creationId xmlns:a16="http://schemas.microsoft.com/office/drawing/2014/main" id="{CA0AD134-5787-89CA-83DE-066E8287FA61}"/>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398648" y="8287"/>
          <a:ext cx="988113" cy="918633"/>
        </a:xfrm>
        <a:prstGeom prst="rect">
          <a:avLst/>
        </a:prstGeom>
      </xdr:spPr>
    </xdr:pic>
    <xdr:clientData/>
  </xdr:twoCellAnchor>
  <xdr:twoCellAnchor>
    <xdr:from>
      <xdr:col>18</xdr:col>
      <xdr:colOff>705209</xdr:colOff>
      <xdr:row>0</xdr:row>
      <xdr:rowOff>234950</xdr:rowOff>
    </xdr:from>
    <xdr:to>
      <xdr:col>19</xdr:col>
      <xdr:colOff>907254</xdr:colOff>
      <xdr:row>0</xdr:row>
      <xdr:rowOff>590550</xdr:rowOff>
    </xdr:to>
    <xdr:sp macro="" textlink="'Analysis - Pivot Charts'!B6">
      <xdr:nvSpPr>
        <xdr:cNvPr id="34" name="TextBox 33">
          <a:extLst>
            <a:ext uri="{FF2B5EF4-FFF2-40B4-BE49-F238E27FC236}">
              <a16:creationId xmlns:a16="http://schemas.microsoft.com/office/drawing/2014/main" id="{23E95C26-4C71-6448-A310-B5A20F1BDAC5}"/>
            </a:ext>
          </a:extLst>
        </xdr:cNvPr>
        <xdr:cNvSpPr txBox="1"/>
      </xdr:nvSpPr>
      <xdr:spPr>
        <a:xfrm>
          <a:off x="16334676" y="234950"/>
          <a:ext cx="1150311"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F3634C8C-BCD9-BB44-A238-D66D0B5F4379}" type="TxLink">
            <a:rPr lang="en-US" sz="2000" b="0" i="0" u="none" strike="noStrike">
              <a:solidFill>
                <a:schemeClr val="bg1"/>
              </a:solidFill>
              <a:latin typeface="Calibri"/>
              <a:ea typeface="+mn-ea"/>
              <a:cs typeface="Calibri"/>
            </a:rPr>
            <a:pPr marL="0" indent="0"/>
            <a:t>$869</a:t>
          </a:fld>
          <a:endParaRPr lang="en-US" sz="2000" b="0" i="0" u="none" strike="noStrike">
            <a:solidFill>
              <a:schemeClr val="bg1"/>
            </a:solidFill>
            <a:latin typeface="Calibri"/>
            <a:ea typeface="+mn-ea"/>
            <a:cs typeface="Calibri"/>
          </a:endParaRPr>
        </a:p>
      </xdr:txBody>
    </xdr:sp>
    <xdr:clientData/>
  </xdr:twoCellAnchor>
  <xdr:twoCellAnchor>
    <xdr:from>
      <xdr:col>17</xdr:col>
      <xdr:colOff>926432</xdr:colOff>
      <xdr:row>0</xdr:row>
      <xdr:rowOff>762000</xdr:rowOff>
    </xdr:from>
    <xdr:to>
      <xdr:col>19</xdr:col>
      <xdr:colOff>588231</xdr:colOff>
      <xdr:row>2</xdr:row>
      <xdr:rowOff>138732</xdr:rowOff>
    </xdr:to>
    <xdr:sp macro="" textlink="">
      <xdr:nvSpPr>
        <xdr:cNvPr id="35" name="TextBox 34">
          <a:extLst>
            <a:ext uri="{FF2B5EF4-FFF2-40B4-BE49-F238E27FC236}">
              <a16:creationId xmlns:a16="http://schemas.microsoft.com/office/drawing/2014/main" id="{8331333A-63E4-F242-87D1-82C9E71A28D9}"/>
            </a:ext>
          </a:extLst>
        </xdr:cNvPr>
        <xdr:cNvSpPr txBox="1"/>
      </xdr:nvSpPr>
      <xdr:spPr>
        <a:xfrm>
          <a:off x="15607632" y="762000"/>
          <a:ext cx="1558332" cy="4096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800">
              <a:solidFill>
                <a:schemeClr val="bg1"/>
              </a:solidFill>
            </a:rPr>
            <a:t>Dining Out</a:t>
          </a:r>
        </a:p>
      </xdr:txBody>
    </xdr:sp>
    <xdr:clientData/>
  </xdr:twoCellAnchor>
  <xdr:oneCellAnchor>
    <xdr:from>
      <xdr:col>8</xdr:col>
      <xdr:colOff>197889</xdr:colOff>
      <xdr:row>0</xdr:row>
      <xdr:rowOff>338667</xdr:rowOff>
    </xdr:from>
    <xdr:ext cx="1236108" cy="623248"/>
    <xdr:sp macro="" textlink="">
      <xdr:nvSpPr>
        <xdr:cNvPr id="42" name="TextBox 41">
          <a:extLst>
            <a:ext uri="{FF2B5EF4-FFF2-40B4-BE49-F238E27FC236}">
              <a16:creationId xmlns:a16="http://schemas.microsoft.com/office/drawing/2014/main" id="{B2166988-549C-DCD2-10F6-9630EC4B488D}"/>
            </a:ext>
          </a:extLst>
        </xdr:cNvPr>
        <xdr:cNvSpPr txBox="1"/>
      </xdr:nvSpPr>
      <xdr:spPr>
        <a:xfrm>
          <a:off x="7784022" y="338667"/>
          <a:ext cx="1236108" cy="6232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r"/>
          <a:r>
            <a:rPr lang="en-US" sz="1800" b="1">
              <a:solidFill>
                <a:schemeClr val="bg1"/>
              </a:solidFill>
            </a:rPr>
            <a:t>Total</a:t>
          </a:r>
        </a:p>
        <a:p>
          <a:pPr algn="r"/>
          <a:r>
            <a:rPr lang="en-US" sz="1800" b="1">
              <a:solidFill>
                <a:schemeClr val="bg1"/>
              </a:solidFill>
            </a:rPr>
            <a:t>Spending</a:t>
          </a:r>
        </a:p>
      </xdr:txBody>
    </xdr:sp>
    <xdr:clientData/>
  </xdr:oneCellAnchor>
  <xdr:twoCellAnchor>
    <xdr:from>
      <xdr:col>0</xdr:col>
      <xdr:colOff>516467</xdr:colOff>
      <xdr:row>4</xdr:row>
      <xdr:rowOff>67738</xdr:rowOff>
    </xdr:from>
    <xdr:to>
      <xdr:col>5</xdr:col>
      <xdr:colOff>643467</xdr:colOff>
      <xdr:row>19</xdr:row>
      <xdr:rowOff>201850</xdr:rowOff>
    </xdr:to>
    <xdr:graphicFrame macro="">
      <xdr:nvGraphicFramePr>
        <xdr:cNvPr id="46" name="Chart 45">
          <a:extLst>
            <a:ext uri="{FF2B5EF4-FFF2-40B4-BE49-F238E27FC236}">
              <a16:creationId xmlns:a16="http://schemas.microsoft.com/office/drawing/2014/main" id="{A98D0E0B-DB72-494E-86BB-4827F28E08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448733</xdr:colOff>
      <xdr:row>21</xdr:row>
      <xdr:rowOff>135474</xdr:rowOff>
    </xdr:from>
    <xdr:to>
      <xdr:col>5</xdr:col>
      <xdr:colOff>575733</xdr:colOff>
      <xdr:row>37</xdr:row>
      <xdr:rowOff>66386</xdr:rowOff>
    </xdr:to>
    <xdr:graphicFrame macro="">
      <xdr:nvGraphicFramePr>
        <xdr:cNvPr id="47" name="Chart 46">
          <a:extLst>
            <a:ext uri="{FF2B5EF4-FFF2-40B4-BE49-F238E27FC236}">
              <a16:creationId xmlns:a16="http://schemas.microsoft.com/office/drawing/2014/main" id="{DE91A6ED-7E82-D841-A8E6-83537DC33C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6</xdr:col>
      <xdr:colOff>728134</xdr:colOff>
      <xdr:row>37</xdr:row>
      <xdr:rowOff>50795</xdr:rowOff>
    </xdr:from>
    <xdr:to>
      <xdr:col>18</xdr:col>
      <xdr:colOff>745068</xdr:colOff>
      <xdr:row>59</xdr:row>
      <xdr:rowOff>152396</xdr:rowOff>
    </xdr:to>
    <xdr:sp macro="" textlink="">
      <xdr:nvSpPr>
        <xdr:cNvPr id="37" name="Rounded Rectangle 36">
          <a:extLst>
            <a:ext uri="{FF2B5EF4-FFF2-40B4-BE49-F238E27FC236}">
              <a16:creationId xmlns:a16="http://schemas.microsoft.com/office/drawing/2014/main" id="{C123F5DB-EDA7-F040-A269-78299947E1D0}"/>
            </a:ext>
          </a:extLst>
        </xdr:cNvPr>
        <xdr:cNvSpPr/>
      </xdr:nvSpPr>
      <xdr:spPr>
        <a:xfrm>
          <a:off x="6417734" y="8195728"/>
          <a:ext cx="9956801" cy="4572001"/>
        </a:xfrm>
        <a:prstGeom prst="roundRect">
          <a:avLst>
            <a:gd name="adj" fmla="val 3259"/>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67732</xdr:colOff>
      <xdr:row>37</xdr:row>
      <xdr:rowOff>169334</xdr:rowOff>
    </xdr:from>
    <xdr:to>
      <xdr:col>18</xdr:col>
      <xdr:colOff>440268</xdr:colOff>
      <xdr:row>59</xdr:row>
      <xdr:rowOff>152396</xdr:rowOff>
    </xdr:to>
    <xdr:graphicFrame macro="">
      <xdr:nvGraphicFramePr>
        <xdr:cNvPr id="54" name="Chart 53">
          <a:extLst>
            <a:ext uri="{FF2B5EF4-FFF2-40B4-BE49-F238E27FC236}">
              <a16:creationId xmlns:a16="http://schemas.microsoft.com/office/drawing/2014/main" id="{EFE9B1CE-4F96-6048-8919-1B93FFB45A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xdr:col>
      <xdr:colOff>728134</xdr:colOff>
      <xdr:row>4</xdr:row>
      <xdr:rowOff>16935</xdr:rowOff>
    </xdr:from>
    <xdr:to>
      <xdr:col>21</xdr:col>
      <xdr:colOff>694267</xdr:colOff>
      <xdr:row>34</xdr:row>
      <xdr:rowOff>135468</xdr:rowOff>
    </xdr:to>
    <xdr:sp macro="" textlink="">
      <xdr:nvSpPr>
        <xdr:cNvPr id="36" name="Rounded Rectangle 35">
          <a:extLst>
            <a:ext uri="{FF2B5EF4-FFF2-40B4-BE49-F238E27FC236}">
              <a16:creationId xmlns:a16="http://schemas.microsoft.com/office/drawing/2014/main" id="{A3E154E9-AC39-E542-AF38-F1729908C9D7}"/>
            </a:ext>
          </a:extLst>
        </xdr:cNvPr>
        <xdr:cNvSpPr/>
      </xdr:nvSpPr>
      <xdr:spPr>
        <a:xfrm>
          <a:off x="6417734" y="1456268"/>
          <a:ext cx="12750800" cy="6214533"/>
        </a:xfrm>
        <a:prstGeom prst="roundRect">
          <a:avLst>
            <a:gd name="adj" fmla="val 3259"/>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135469</xdr:colOff>
      <xdr:row>5</xdr:row>
      <xdr:rowOff>186267</xdr:rowOff>
    </xdr:from>
    <xdr:to>
      <xdr:col>20</xdr:col>
      <xdr:colOff>829736</xdr:colOff>
      <xdr:row>33</xdr:row>
      <xdr:rowOff>16934</xdr:rowOff>
    </xdr:to>
    <mc:AlternateContent xmlns:mc="http://schemas.openxmlformats.org/markup-compatibility/2006">
      <mc:Choice xmlns:cx4="http://schemas.microsoft.com/office/drawing/2016/5/10/chartex" Requires="cx4">
        <xdr:graphicFrame macro="">
          <xdr:nvGraphicFramePr>
            <xdr:cNvPr id="59" name="Chart 58">
              <a:extLst>
                <a:ext uri="{FF2B5EF4-FFF2-40B4-BE49-F238E27FC236}">
                  <a16:creationId xmlns:a16="http://schemas.microsoft.com/office/drawing/2014/main" id="{9A1A0F9C-6383-4342-A87F-A6FE2398BBF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9"/>
            </a:graphicData>
          </a:graphic>
        </xdr:graphicFrame>
      </mc:Choice>
      <mc:Fallback>
        <xdr:sp macro="" textlink="">
          <xdr:nvSpPr>
            <xdr:cNvPr id="0" name=""/>
            <xdr:cNvSpPr>
              <a:spLocks noTextEdit="1"/>
            </xdr:cNvSpPr>
          </xdr:nvSpPr>
          <xdr:spPr>
            <a:xfrm>
              <a:off x="6773336" y="1828800"/>
              <a:ext cx="11582400" cy="552026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825135</xdr:colOff>
      <xdr:row>0</xdr:row>
      <xdr:rowOff>762001</xdr:rowOff>
    </xdr:from>
    <xdr:to>
      <xdr:col>17</xdr:col>
      <xdr:colOff>165778</xdr:colOff>
      <xdr:row>2</xdr:row>
      <xdr:rowOff>134698</xdr:rowOff>
    </xdr:to>
    <xdr:sp macro="" textlink="">
      <xdr:nvSpPr>
        <xdr:cNvPr id="22" name="TextBox 21">
          <a:extLst>
            <a:ext uri="{FF2B5EF4-FFF2-40B4-BE49-F238E27FC236}">
              <a16:creationId xmlns:a16="http://schemas.microsoft.com/office/drawing/2014/main" id="{B79181F7-63B6-CA6D-CE7F-ACADD65DDB31}"/>
            </a:ext>
          </a:extLst>
        </xdr:cNvPr>
        <xdr:cNvSpPr txBox="1"/>
      </xdr:nvSpPr>
      <xdr:spPr>
        <a:xfrm>
          <a:off x="13609802" y="762001"/>
          <a:ext cx="1237176" cy="4056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800">
              <a:solidFill>
                <a:schemeClr val="bg1"/>
              </a:solidFill>
            </a:rPr>
            <a:t>Transport</a:t>
          </a:r>
        </a:p>
      </xdr:txBody>
    </xdr:sp>
    <xdr:clientData/>
  </xdr:twoCellAnchor>
  <xdr:twoCellAnchor editAs="oneCell">
    <xdr:from>
      <xdr:col>22</xdr:col>
      <xdr:colOff>457196</xdr:colOff>
      <xdr:row>4</xdr:row>
      <xdr:rowOff>67732</xdr:rowOff>
    </xdr:from>
    <xdr:to>
      <xdr:col>24</xdr:col>
      <xdr:colOff>287862</xdr:colOff>
      <xdr:row>13</xdr:row>
      <xdr:rowOff>169333</xdr:rowOff>
    </xdr:to>
    <mc:AlternateContent xmlns:mc="http://schemas.openxmlformats.org/markup-compatibility/2006" xmlns:a14="http://schemas.microsoft.com/office/drawing/2010/main">
      <mc:Choice Requires="a14">
        <xdr:graphicFrame macro="">
          <xdr:nvGraphicFramePr>
            <xdr:cNvPr id="27" name="Date 1">
              <a:extLst>
                <a:ext uri="{FF2B5EF4-FFF2-40B4-BE49-F238E27FC236}">
                  <a16:creationId xmlns:a16="http://schemas.microsoft.com/office/drawing/2014/main" id="{DF669E2C-1D21-0944-8225-4F77215C3128}"/>
                </a:ext>
              </a:extLst>
            </xdr:cNvPr>
            <xdr:cNvGraphicFramePr/>
          </xdr:nvGraphicFramePr>
          <xdr:xfrm>
            <a:off x="0" y="0"/>
            <a:ext cx="0" cy="0"/>
          </xdr:xfrm>
          <a:graphic>
            <a:graphicData uri="http://schemas.microsoft.com/office/drawing/2010/slicer">
              <sle:slicer xmlns:sle="http://schemas.microsoft.com/office/drawing/2010/slicer" name="Date 1"/>
            </a:graphicData>
          </a:graphic>
        </xdr:graphicFrame>
      </mc:Choice>
      <mc:Fallback xmlns="">
        <xdr:sp macro="" textlink="">
          <xdr:nvSpPr>
            <xdr:cNvPr id="0" name=""/>
            <xdr:cNvSpPr>
              <a:spLocks noTextEdit="1"/>
            </xdr:cNvSpPr>
          </xdr:nvSpPr>
          <xdr:spPr>
            <a:xfrm>
              <a:off x="19879729" y="1507065"/>
              <a:ext cx="1727200" cy="19304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19</xdr:col>
      <xdr:colOff>372534</xdr:colOff>
      <xdr:row>37</xdr:row>
      <xdr:rowOff>50795</xdr:rowOff>
    </xdr:from>
    <xdr:to>
      <xdr:col>24</xdr:col>
      <xdr:colOff>169333</xdr:colOff>
      <xdr:row>59</xdr:row>
      <xdr:rowOff>152396</xdr:rowOff>
    </xdr:to>
    <xdr:sp macro="" textlink="">
      <xdr:nvSpPr>
        <xdr:cNvPr id="38" name="Rounded Rectangle 37">
          <a:extLst>
            <a:ext uri="{FF2B5EF4-FFF2-40B4-BE49-F238E27FC236}">
              <a16:creationId xmlns:a16="http://schemas.microsoft.com/office/drawing/2014/main" id="{3E1845BB-8F0E-C144-9999-43DE60A55A5D}"/>
            </a:ext>
          </a:extLst>
        </xdr:cNvPr>
        <xdr:cNvSpPr/>
      </xdr:nvSpPr>
      <xdr:spPr>
        <a:xfrm>
          <a:off x="16950267" y="8195728"/>
          <a:ext cx="4538133" cy="4572001"/>
        </a:xfrm>
        <a:prstGeom prst="roundRect">
          <a:avLst>
            <a:gd name="adj" fmla="val 3259"/>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22</xdr:col>
      <xdr:colOff>457198</xdr:colOff>
      <xdr:row>14</xdr:row>
      <xdr:rowOff>101599</xdr:rowOff>
    </xdr:from>
    <xdr:to>
      <xdr:col>24</xdr:col>
      <xdr:colOff>270930</xdr:colOff>
      <xdr:row>33</xdr:row>
      <xdr:rowOff>67734</xdr:rowOff>
    </xdr:to>
    <mc:AlternateContent xmlns:mc="http://schemas.openxmlformats.org/markup-compatibility/2006" xmlns:a14="http://schemas.microsoft.com/office/drawing/2010/main">
      <mc:Choice Requires="a14">
        <xdr:graphicFrame macro="">
          <xdr:nvGraphicFramePr>
            <xdr:cNvPr id="28" name="Category 1">
              <a:extLst>
                <a:ext uri="{FF2B5EF4-FFF2-40B4-BE49-F238E27FC236}">
                  <a16:creationId xmlns:a16="http://schemas.microsoft.com/office/drawing/2014/main" id="{242AC9F8-70E9-9047-8481-0770FABC4143}"/>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9879731" y="3572932"/>
              <a:ext cx="1710266" cy="382693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19</xdr:col>
      <xdr:colOff>287864</xdr:colOff>
      <xdr:row>38</xdr:row>
      <xdr:rowOff>50800</xdr:rowOff>
    </xdr:from>
    <xdr:to>
      <xdr:col>24</xdr:col>
      <xdr:colOff>169332</xdr:colOff>
      <xdr:row>58</xdr:row>
      <xdr:rowOff>152399</xdr:rowOff>
    </xdr:to>
    <xdr:graphicFrame macro="">
      <xdr:nvGraphicFramePr>
        <xdr:cNvPr id="29" name="Chart 28">
          <a:extLst>
            <a:ext uri="{FF2B5EF4-FFF2-40B4-BE49-F238E27FC236}">
              <a16:creationId xmlns:a16="http://schemas.microsoft.com/office/drawing/2014/main" id="{F423797F-0678-FD45-8448-2601B15FA1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oneCellAnchor>
    <xdr:from>
      <xdr:col>7</xdr:col>
      <xdr:colOff>84668</xdr:colOff>
      <xdr:row>4</xdr:row>
      <xdr:rowOff>118542</xdr:rowOff>
    </xdr:from>
    <xdr:ext cx="12090400" cy="387157"/>
    <xdr:sp macro="" textlink="'Analysis - Pivot Charts'!B25">
      <xdr:nvSpPr>
        <xdr:cNvPr id="40" name="TextBox 39">
          <a:extLst>
            <a:ext uri="{FF2B5EF4-FFF2-40B4-BE49-F238E27FC236}">
              <a16:creationId xmlns:a16="http://schemas.microsoft.com/office/drawing/2014/main" id="{ADA2C581-0D6C-B3CF-C546-62C0C0B28AD7}"/>
            </a:ext>
          </a:extLst>
        </xdr:cNvPr>
        <xdr:cNvSpPr txBox="1"/>
      </xdr:nvSpPr>
      <xdr:spPr>
        <a:xfrm>
          <a:off x="6722535" y="1557875"/>
          <a:ext cx="12090400" cy="3871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2CD47B8A-6BF4-0144-8331-0E86CA32E115}" type="TxLink">
            <a:rPr lang="en-US" sz="2000" b="1" i="0" u="none" strike="noStrike">
              <a:solidFill>
                <a:srgbClr val="FFFFFF"/>
              </a:solidFill>
              <a:latin typeface="Arial"/>
              <a:cs typeface="Arial"/>
            </a:rPr>
            <a:pPr algn="ctr"/>
            <a:t>Expense by Category - July-September 2023</a:t>
          </a:fld>
          <a:endParaRPr lang="en-US" sz="2000" b="1">
            <a:solidFill>
              <a:srgbClr val="FFFFFF"/>
            </a:solidFill>
          </a:endParaRPr>
        </a:p>
      </xdr:txBody>
    </xdr:sp>
    <xdr:clientData/>
  </xdr:oneCellAnchor>
  <xdr:twoCellAnchor>
    <xdr:from>
      <xdr:col>0</xdr:col>
      <xdr:colOff>694265</xdr:colOff>
      <xdr:row>41</xdr:row>
      <xdr:rowOff>33860</xdr:rowOff>
    </xdr:from>
    <xdr:to>
      <xdr:col>5</xdr:col>
      <xdr:colOff>575734</xdr:colOff>
      <xdr:row>44</xdr:row>
      <xdr:rowOff>106498</xdr:rowOff>
    </xdr:to>
    <xdr:sp macro="" textlink="'Analysis - Pivot Charts'!B14">
      <xdr:nvSpPr>
        <xdr:cNvPr id="3" name="TextBox 39">
          <a:extLst>
            <a:ext uri="{FF2B5EF4-FFF2-40B4-BE49-F238E27FC236}">
              <a16:creationId xmlns:a16="http://schemas.microsoft.com/office/drawing/2014/main" id="{7F48BAE6-DCA4-799D-6C1C-839322C2621E}"/>
            </a:ext>
          </a:extLst>
        </xdr:cNvPr>
        <xdr:cNvSpPr txBox="1"/>
      </xdr:nvSpPr>
      <xdr:spPr>
        <a:xfrm>
          <a:off x="694265" y="8991593"/>
          <a:ext cx="4622802" cy="682238"/>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lgn="ctr"/>
          <a:fld id="{F12AC613-5C2C-5442-ADE7-1F4AA79B8F77}" type="TxLink">
            <a:rPr lang="en-US" sz="2000" b="1" i="0" u="none" strike="noStrike">
              <a:solidFill>
                <a:schemeClr val="bg1"/>
              </a:solidFill>
              <a:latin typeface="Arial"/>
              <a:cs typeface="Arial"/>
            </a:rPr>
            <a:t>Total Spend by Account - July-September 2023</a:t>
          </a:fld>
          <a:endParaRPr lang="en-US" sz="2000" b="1">
            <a:solidFill>
              <a:schemeClr val="bg1"/>
            </a:solidFill>
          </a:endParaRPr>
        </a:p>
      </xdr:txBody>
    </xdr:sp>
    <xdr:clientData/>
  </xdr:twoCellAnchor>
</xdr:wsDr>
</file>

<file path=xl/drawings/drawing2.xml><?xml version="1.0" encoding="utf-8"?>
<c:userShapes xmlns:c="http://schemas.openxmlformats.org/drawingml/2006/chart">
  <cdr:relSizeAnchor xmlns:cdr="http://schemas.openxmlformats.org/drawingml/2006/chartDrawing">
    <cdr:from>
      <cdr:x>0</cdr:x>
      <cdr:y>0.01596</cdr:y>
    </cdr:from>
    <cdr:to>
      <cdr:x>1</cdr:x>
      <cdr:y>0.23414</cdr:y>
    </cdr:to>
    <cdr:sp macro="" textlink="'Analysis - Pivot Charts'!$B$39">
      <cdr:nvSpPr>
        <cdr:cNvPr id="2" name="TextBox 39">
          <a:extLst xmlns:a="http://schemas.openxmlformats.org/drawingml/2006/main">
            <a:ext uri="{FF2B5EF4-FFF2-40B4-BE49-F238E27FC236}">
              <a16:creationId xmlns:a16="http://schemas.microsoft.com/office/drawing/2014/main" id="{ADA2C581-0D6C-B3CF-C546-62C0C0B28AD7}"/>
            </a:ext>
          </a:extLst>
        </cdr:cNvPr>
        <cdr:cNvSpPr txBox="1"/>
      </cdr:nvSpPr>
      <cdr:spPr>
        <a:xfrm xmlns:a="http://schemas.openxmlformats.org/drawingml/2006/main">
          <a:off x="0" y="50787"/>
          <a:ext cx="4868333" cy="694273"/>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vertOverflow="clip" horzOverflow="clip" wrap="square" rtlCol="0" anchor="t">
          <a:no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marL="0" indent="0" algn="ctr"/>
          <a:fld id="{79B806C5-D5A7-9843-8025-FDF03B2789C9}" type="TxLink">
            <a:rPr lang="en-US" sz="2000" b="1" i="0" u="none" strike="noStrike">
              <a:solidFill>
                <a:srgbClr val="FFFFFF"/>
              </a:solidFill>
              <a:latin typeface="Arial"/>
              <a:ea typeface="+mn-ea"/>
              <a:cs typeface="Arial"/>
            </a:rPr>
            <a:pPr marL="0" indent="0" algn="ctr"/>
            <a:t>All Expenses</a:t>
          </a:fld>
          <a:endParaRPr lang="en-US" sz="2000" b="1" i="0" u="none" strike="noStrike">
            <a:solidFill>
              <a:srgbClr val="FFFFFF"/>
            </a:solidFill>
            <a:latin typeface="Arial"/>
            <a:ea typeface="+mn-ea"/>
            <a:cs typeface="Arial"/>
          </a:endParaRPr>
        </a:p>
      </cdr:txBody>
    </cdr:sp>
  </cdr:relSizeAnchor>
</c:userShapes>
</file>

<file path=xl/drawings/drawing3.xml><?xml version="1.0" encoding="utf-8"?>
<c:userShapes xmlns:c="http://schemas.openxmlformats.org/drawingml/2006/chart">
  <cdr:relSizeAnchor xmlns:cdr="http://schemas.openxmlformats.org/drawingml/2006/chartDrawing">
    <cdr:from>
      <cdr:x>0</cdr:x>
      <cdr:y>2.40062E-7</cdr:y>
    </cdr:from>
    <cdr:to>
      <cdr:x>1</cdr:x>
      <cdr:y>0.16375</cdr:y>
    </cdr:to>
    <cdr:sp macro="" textlink="'Analysis - Pivot Charts'!$H$24">
      <cdr:nvSpPr>
        <cdr:cNvPr id="2" name="TextBox 39">
          <a:extLst xmlns:a="http://schemas.openxmlformats.org/drawingml/2006/main">
            <a:ext uri="{FF2B5EF4-FFF2-40B4-BE49-F238E27FC236}">
              <a16:creationId xmlns:a16="http://schemas.microsoft.com/office/drawing/2014/main" id="{ADA2C581-0D6C-B3CF-C546-62C0C0B28AD7}"/>
            </a:ext>
          </a:extLst>
        </cdr:cNvPr>
        <cdr:cNvSpPr txBox="1"/>
      </cdr:nvSpPr>
      <cdr:spPr>
        <a:xfrm xmlns:a="http://schemas.openxmlformats.org/drawingml/2006/main">
          <a:off x="0" y="1"/>
          <a:ext cx="4622802" cy="68211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1DDF45CB-8384-644D-843F-9E44A467ABDA}" type="TxLink">
            <a:rPr lang="en-US" sz="2000" b="1" i="0" u="none" strike="noStrike">
              <a:solidFill>
                <a:schemeClr val="bg1"/>
              </a:solidFill>
              <a:latin typeface="Arial"/>
              <a:cs typeface="Arial"/>
            </a:rPr>
            <a:t>Top 5 Sub-Categories - July-September 2023</a:t>
          </a:fld>
          <a:endParaRPr lang="en-US" sz="2000" b="1">
            <a:solidFill>
              <a:schemeClr val="bg1"/>
            </a:solidFill>
          </a:endParaRP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197.561172916663" createdVersion="8" refreshedVersion="8" minRefreshableVersion="3" recordCount="250" xr:uid="{220FCA1E-E534-094F-9F42-FCB36CD8C66C}">
  <cacheSource type="worksheet">
    <worksheetSource ref="A1:I251" sheet="Transactions - Values"/>
  </cacheSource>
  <cacheFields count="9">
    <cacheField name="Account Name" numFmtId="0">
      <sharedItems count="2">
        <s v="Credit"/>
        <s v="Checking"/>
      </sharedItems>
    </cacheField>
    <cacheField name="Date" numFmtId="14">
      <sharedItems containsSemiMixedTypes="0" containsNonDate="0" containsDate="1" containsString="0" minDate="2023-07-01T00:00:00" maxDate="2023-09-29T00:00:00" count="73">
        <d v="2023-09-09T00:00:00"/>
        <d v="2023-07-24T00:00:00"/>
        <d v="2023-07-31T00:00:00"/>
        <d v="2023-08-21T00:00:00"/>
        <d v="2023-07-07T00:00:00"/>
        <d v="2023-07-05T00:00:00"/>
        <d v="2023-08-12T00:00:00"/>
        <d v="2023-08-18T00:00:00"/>
        <d v="2023-07-03T00:00:00"/>
        <d v="2023-07-14T00:00:00"/>
        <d v="2023-07-28T00:00:00"/>
        <d v="2023-09-06T00:00:00"/>
        <d v="2023-07-08T00:00:00"/>
        <d v="2023-08-17T00:00:00"/>
        <d v="2023-09-11T00:00:00"/>
        <d v="2023-08-07T00:00:00"/>
        <d v="2023-08-15T00:00:00"/>
        <d v="2023-07-20T00:00:00"/>
        <d v="2023-07-27T00:00:00"/>
        <d v="2023-08-28T00:00:00"/>
        <d v="2023-09-04T00:00:00"/>
        <d v="2023-09-19T00:00:00"/>
        <d v="2023-07-16T00:00:00"/>
        <d v="2023-07-21T00:00:00"/>
        <d v="2023-08-27T00:00:00"/>
        <d v="2023-09-17T00:00:00"/>
        <d v="2023-09-21T00:00:00"/>
        <d v="2023-07-01T00:00:00"/>
        <d v="2023-07-13T00:00:00"/>
        <d v="2023-07-15T00:00:00"/>
        <d v="2023-07-22T00:00:00"/>
        <d v="2023-07-25T00:00:00"/>
        <d v="2023-08-01T00:00:00"/>
        <d v="2023-08-09T00:00:00"/>
        <d v="2023-08-14T00:00:00"/>
        <d v="2023-08-16T00:00:00"/>
        <d v="2023-08-26T00:00:00"/>
        <d v="2023-09-20T00:00:00"/>
        <d v="2023-09-07T00:00:00"/>
        <d v="2023-08-08T00:00:00"/>
        <d v="2023-08-10T00:00:00"/>
        <d v="2023-07-11T00:00:00"/>
        <d v="2023-07-10T00:00:00"/>
        <d v="2023-09-01T00:00:00"/>
        <d v="2023-09-05T00:00:00"/>
        <d v="2023-09-15T00:00:00"/>
        <d v="2023-09-23T00:00:00"/>
        <d v="2023-09-28T00:00:00"/>
        <d v="2023-08-03T00:00:00"/>
        <d v="2023-08-23T00:00:00"/>
        <d v="2023-08-31T00:00:00"/>
        <d v="2023-09-16T00:00:00"/>
        <d v="2023-08-04T00:00:00"/>
        <d v="2023-09-02T00:00:00"/>
        <d v="2023-09-13T00:00:00"/>
        <d v="2023-09-18T00:00:00"/>
        <d v="2023-09-22T00:00:00"/>
        <d v="2023-07-17T00:00:00"/>
        <d v="2023-07-18T00:00:00"/>
        <d v="2023-07-26T00:00:00"/>
        <d v="2023-08-05T00:00:00"/>
        <d v="2023-08-11T00:00:00"/>
        <d v="2023-08-19T00:00:00"/>
        <d v="2023-08-22T00:00:00"/>
        <d v="2023-08-25T00:00:00"/>
        <d v="2023-08-29T00:00:00"/>
        <d v="2023-07-19T00:00:00"/>
        <d v="2023-07-29T00:00:00"/>
        <d v="2023-08-02T00:00:00"/>
        <d v="2023-07-06T00:00:00"/>
        <d v="2023-08-30T00:00:00"/>
        <d v="2023-09-14T00:00:00"/>
        <d v="2023-07-04T00:00:00"/>
      </sharedItems>
      <fieldGroup base="1">
        <rangePr groupBy="months" startDate="2023-07-01T00:00:00" endDate="2023-09-29T00:00:00"/>
        <groupItems count="14">
          <s v="&lt;7/1/23"/>
          <s v="Jan"/>
          <s v="Feb"/>
          <s v="Mar"/>
          <s v="Apr"/>
          <s v="May"/>
          <s v="Jun"/>
          <s v="Jul"/>
          <s v="Aug"/>
          <s v="Sep"/>
          <s v="Oct"/>
          <s v="Nov"/>
          <s v="Dec"/>
          <s v="&gt;9/29/23"/>
        </groupItems>
      </fieldGroup>
    </cacheField>
    <cacheField name="Description" numFmtId="0">
      <sharedItems/>
    </cacheField>
    <cacheField name="Debit" numFmtId="0">
      <sharedItems containsString="0" containsBlank="1" containsNumber="1" minValue="0" maxValue="1000"/>
    </cacheField>
    <cacheField name="Credit" numFmtId="0">
      <sharedItems containsSemiMixedTypes="0" containsString="0" containsNumber="1" minValue="0" maxValue="2550.62" count="7">
        <n v="0"/>
        <n v="143.22"/>
        <n v="2550.61"/>
        <n v="1898.03"/>
        <n v="1898.02"/>
        <n v="2550.62"/>
        <n v="39.99" u="1"/>
      </sharedItems>
    </cacheField>
    <cacheField name="Amount" numFmtId="0">
      <sharedItems containsSemiMixedTypes="0" containsString="0" containsNumber="1" minValue="-1000" maxValue="2550.62"/>
    </cacheField>
    <cacheField name="Sub-Category" numFmtId="0">
      <sharedItems count="29">
        <s v="Books/Education"/>
        <s v="Car maintenance and repairs"/>
        <s v="Car wash"/>
        <s v="Clothing"/>
        <s v="Dental Insurance"/>
        <s v="Dining Out"/>
        <s v="Donations"/>
        <s v="Electricity and Natural Gas"/>
        <s v="Entertainment"/>
        <s v="Gasoline"/>
        <s v="Gifts"/>
        <s v="Groceries and home supplies"/>
        <s v="Gym or club membership"/>
        <s v="Haircuts"/>
        <s v="Internet bill"/>
        <s v="Out-of-Pocket Medical Costs"/>
        <s v="Parking fees"/>
        <s v="Phone bill"/>
        <s v="Rent"/>
        <s v="Renters/Auto Insurance"/>
        <s v="Salary"/>
        <s v="Subscriptions"/>
        <s v="Toiletries"/>
        <s v="Travel" u="1"/>
        <s v="Furnishings" u="1"/>
        <s v="Renters/Auto Insurance Premiums" u="1"/>
        <s v="Car maintenance and repairs (registration, oil changes, tires, etc.)" u="1"/>
        <s v="Entertainment (Movie, concert, and event tickets)" u="1"/>
        <s v="Dental Insurance Premiums" u="1"/>
      </sharedItems>
    </cacheField>
    <cacheField name="Category" numFmtId="0">
      <sharedItems count="7">
        <s v="Discretionary"/>
        <s v="Transport"/>
        <s v="Medical"/>
        <s v="Dining Out"/>
        <s v="Donations"/>
        <s v="Living Expenses"/>
        <s v="Salary"/>
      </sharedItems>
    </cacheField>
    <cacheField name="Category Type" numFmtId="0">
      <sharedItems count="2">
        <s v="Expense"/>
        <s v="Income"/>
      </sharedItems>
    </cacheField>
  </cacheFields>
  <extLst>
    <ext xmlns:x14="http://schemas.microsoft.com/office/spreadsheetml/2009/9/main" uri="{725AE2AE-9491-48be-B2B4-4EB974FC3084}">
      <x14:pivotCacheDefinition pivotCacheId="92027049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0">
  <r>
    <x v="0"/>
    <x v="0"/>
    <s v="LINGODA.COM"/>
    <n v="149"/>
    <x v="0"/>
    <n v="-149"/>
    <x v="0"/>
    <x v="0"/>
    <x v="0"/>
  </r>
  <r>
    <x v="0"/>
    <x v="1"/>
    <s v="Kindle Svcs*QBX"/>
    <n v="7.85"/>
    <x v="0"/>
    <n v="-7.85"/>
    <x v="0"/>
    <x v="0"/>
    <x v="0"/>
  </r>
  <r>
    <x v="0"/>
    <x v="2"/>
    <s v="Kindle Svcs*XUX"/>
    <n v="9.3800000000000008"/>
    <x v="0"/>
    <n v="-9.3800000000000008"/>
    <x v="0"/>
    <x v="0"/>
    <x v="0"/>
  </r>
  <r>
    <x v="0"/>
    <x v="2"/>
    <s v="Kindle Svcs*XUX"/>
    <n v="9.3800000000000008"/>
    <x v="0"/>
    <n v="-9.3800000000000008"/>
    <x v="0"/>
    <x v="0"/>
    <x v="0"/>
  </r>
  <r>
    <x v="0"/>
    <x v="3"/>
    <s v="Emotionally Hea"/>
    <n v="2"/>
    <x v="0"/>
    <n v="-2"/>
    <x v="0"/>
    <x v="0"/>
    <x v="0"/>
  </r>
  <r>
    <x v="0"/>
    <x v="4"/>
    <s v="Boundaries Book"/>
    <n v="2"/>
    <x v="0"/>
    <n v="-2"/>
    <x v="0"/>
    <x v="0"/>
    <x v="0"/>
  </r>
  <r>
    <x v="0"/>
    <x v="5"/>
    <s v="LINGODA.COM"/>
    <n v="240"/>
    <x v="0"/>
    <n v="-240"/>
    <x v="0"/>
    <x v="0"/>
    <x v="0"/>
  </r>
  <r>
    <x v="0"/>
    <x v="6"/>
    <s v="LINGODA.COM"/>
    <n v="149"/>
    <x v="0"/>
    <n v="-149"/>
    <x v="0"/>
    <x v="0"/>
    <x v="0"/>
  </r>
  <r>
    <x v="0"/>
    <x v="7"/>
    <s v="Albert Windshie"/>
    <n v="32.15"/>
    <x v="0"/>
    <n v="-32.15"/>
    <x v="1"/>
    <x v="1"/>
    <x v="0"/>
  </r>
  <r>
    <x v="0"/>
    <x v="8"/>
    <s v="Windshield Prot"/>
    <n v="19.29"/>
    <x v="0"/>
    <n v="-19.29"/>
    <x v="1"/>
    <x v="1"/>
    <x v="0"/>
  </r>
  <r>
    <x v="0"/>
    <x v="9"/>
    <s v="Motorcycle Repa"/>
    <n v="81.93"/>
    <x v="0"/>
    <n v="-81.93"/>
    <x v="1"/>
    <x v="1"/>
    <x v="0"/>
  </r>
  <r>
    <x v="1"/>
    <x v="10"/>
    <s v="CHECKCARD 0727 "/>
    <n v="111.05"/>
    <x v="0"/>
    <n v="-111.05"/>
    <x v="1"/>
    <x v="1"/>
    <x v="0"/>
  </r>
  <r>
    <x v="0"/>
    <x v="2"/>
    <s v="PREMIER OIL CHA"/>
    <n v="12"/>
    <x v="0"/>
    <n v="-12"/>
    <x v="1"/>
    <x v="1"/>
    <x v="0"/>
  </r>
  <r>
    <x v="0"/>
    <x v="11"/>
    <s v="TAY-VAN INC."/>
    <n v="14"/>
    <x v="0"/>
    <n v="-14"/>
    <x v="2"/>
    <x v="1"/>
    <x v="0"/>
  </r>
  <r>
    <x v="0"/>
    <x v="12"/>
    <s v="TAY-VAN INC. RE"/>
    <n v="12"/>
    <x v="0"/>
    <n v="-12"/>
    <x v="2"/>
    <x v="1"/>
    <x v="0"/>
  </r>
  <r>
    <x v="0"/>
    <x v="13"/>
    <s v="Albert Car Wash"/>
    <n v="14"/>
    <x v="0"/>
    <n v="-14"/>
    <x v="2"/>
    <x v="1"/>
    <x v="0"/>
  </r>
  <r>
    <x v="0"/>
    <x v="14"/>
    <s v=" Soccer Gear"/>
    <n v="13"/>
    <x v="0"/>
    <n v="-13"/>
    <x v="3"/>
    <x v="0"/>
    <x v="0"/>
  </r>
  <r>
    <x v="0"/>
    <x v="14"/>
    <s v=" Soccer Gear"/>
    <n v="18.559999999999999"/>
    <x v="0"/>
    <n v="-18.559999999999999"/>
    <x v="3"/>
    <x v="0"/>
    <x v="0"/>
  </r>
  <r>
    <x v="0"/>
    <x v="15"/>
    <s v=" Shoes"/>
    <n v="64.349999999999994"/>
    <x v="0"/>
    <n v="-64.349999999999994"/>
    <x v="3"/>
    <x v="0"/>
    <x v="0"/>
  </r>
  <r>
    <x v="0"/>
    <x v="16"/>
    <s v=" Polo Shirts - "/>
    <n v="67.47"/>
    <x v="0"/>
    <n v="-67.47"/>
    <x v="3"/>
    <x v="0"/>
    <x v="0"/>
  </r>
  <r>
    <x v="0"/>
    <x v="4"/>
    <s v=" Purse - GOODWI"/>
    <n v="5"/>
    <x v="0"/>
    <n v="-5"/>
    <x v="3"/>
    <x v="0"/>
    <x v="0"/>
  </r>
  <r>
    <x v="0"/>
    <x v="4"/>
    <s v=" Boxers - AMZN "/>
    <n v="39.67"/>
    <x v="0"/>
    <n v="-39.67"/>
    <x v="3"/>
    <x v="0"/>
    <x v="0"/>
  </r>
  <r>
    <x v="0"/>
    <x v="4"/>
    <s v=" Athletic Short"/>
    <n v="28.95"/>
    <x v="0"/>
    <n v="-28.95"/>
    <x v="3"/>
    <x v="0"/>
    <x v="0"/>
  </r>
  <r>
    <x v="0"/>
    <x v="17"/>
    <s v="s Shoes - AMZN "/>
    <n v="64.349999999999994"/>
    <x v="0"/>
    <n v="-64.349999999999994"/>
    <x v="3"/>
    <x v="0"/>
    <x v="0"/>
  </r>
  <r>
    <x v="0"/>
    <x v="18"/>
    <s v="DENTAL INSURANC"/>
    <n v="58.16"/>
    <x v="0"/>
    <n v="-58.16"/>
    <x v="4"/>
    <x v="2"/>
    <x v="0"/>
  </r>
  <r>
    <x v="0"/>
    <x v="19"/>
    <s v="DENTAL INSURANC"/>
    <n v="58.16"/>
    <x v="0"/>
    <n v="-58.16"/>
    <x v="4"/>
    <x v="2"/>
    <x v="0"/>
  </r>
  <r>
    <x v="0"/>
    <x v="20"/>
    <s v="LITTLE CAESARS "/>
    <n v="22.28"/>
    <x v="0"/>
    <n v="-22.28"/>
    <x v="5"/>
    <x v="3"/>
    <x v="0"/>
  </r>
  <r>
    <x v="0"/>
    <x v="14"/>
    <s v="TST* WILDA'S GR"/>
    <n v="21.34"/>
    <x v="0"/>
    <n v="-21.34"/>
    <x v="5"/>
    <x v="3"/>
    <x v="0"/>
  </r>
  <r>
    <x v="0"/>
    <x v="21"/>
    <s v="CHAMPA GARDEN"/>
    <n v="28.96"/>
    <x v="0"/>
    <n v="-28.96"/>
    <x v="5"/>
    <x v="3"/>
    <x v="0"/>
  </r>
  <r>
    <x v="0"/>
    <x v="20"/>
    <s v="SQ *ROOTS JUICE"/>
    <n v="9.25"/>
    <x v="0"/>
    <n v="-9.25"/>
    <x v="5"/>
    <x v="3"/>
    <x v="0"/>
  </r>
  <r>
    <x v="0"/>
    <x v="22"/>
    <s v="TST* From the H"/>
    <n v="14.65"/>
    <x v="0"/>
    <n v="-14.65"/>
    <x v="5"/>
    <x v="3"/>
    <x v="0"/>
  </r>
  <r>
    <x v="0"/>
    <x v="23"/>
    <s v="TST* From the H"/>
    <n v="18.510000000000002"/>
    <x v="0"/>
    <n v="-18.510000000000002"/>
    <x v="5"/>
    <x v="3"/>
    <x v="0"/>
  </r>
  <r>
    <x v="0"/>
    <x v="24"/>
    <s v="TAQUERIA LOS GO"/>
    <n v="32"/>
    <x v="0"/>
    <n v="-32"/>
    <x v="5"/>
    <x v="3"/>
    <x v="0"/>
  </r>
  <r>
    <x v="0"/>
    <x v="25"/>
    <s v="TST* From the H"/>
    <n v="18.510000000000002"/>
    <x v="0"/>
    <n v="-18.510000000000002"/>
    <x v="5"/>
    <x v="3"/>
    <x v="0"/>
  </r>
  <r>
    <x v="0"/>
    <x v="26"/>
    <s v="IN N OUT BURGER"/>
    <n v="11.05"/>
    <x v="0"/>
    <n v="-11.05"/>
    <x v="5"/>
    <x v="3"/>
    <x v="0"/>
  </r>
  <r>
    <x v="0"/>
    <x v="13"/>
    <s v="WHEN PIE MEETS "/>
    <n v="10.35"/>
    <x v="0"/>
    <n v="-10.35"/>
    <x v="5"/>
    <x v="3"/>
    <x v="0"/>
  </r>
  <r>
    <x v="0"/>
    <x v="13"/>
    <s v="R &amp; R QUALITY M"/>
    <n v="30.27"/>
    <x v="0"/>
    <n v="-30.27"/>
    <x v="5"/>
    <x v="3"/>
    <x v="0"/>
  </r>
  <r>
    <x v="0"/>
    <x v="27"/>
    <s v="SQ *THEORY COFF"/>
    <n v="6.5"/>
    <x v="0"/>
    <n v="-6.5"/>
    <x v="5"/>
    <x v="3"/>
    <x v="0"/>
  </r>
  <r>
    <x v="0"/>
    <x v="8"/>
    <s v="COSTCO WHSE #14"/>
    <n v="10.67"/>
    <x v="0"/>
    <n v="-10.67"/>
    <x v="5"/>
    <x v="3"/>
    <x v="0"/>
  </r>
  <r>
    <x v="0"/>
    <x v="4"/>
    <s v="SQ *TASTE &amp; SEE"/>
    <n v="23.05"/>
    <x v="0"/>
    <n v="-23.05"/>
    <x v="5"/>
    <x v="3"/>
    <x v="0"/>
  </r>
  <r>
    <x v="0"/>
    <x v="4"/>
    <s v="SQ *ROOTS JUICE"/>
    <n v="23.33"/>
    <x v="0"/>
    <n v="-23.33"/>
    <x v="5"/>
    <x v="3"/>
    <x v="0"/>
  </r>
  <r>
    <x v="0"/>
    <x v="12"/>
    <s v="PAPA MURPHY'S C"/>
    <n v="21"/>
    <x v="0"/>
    <n v="-21"/>
    <x v="5"/>
    <x v="3"/>
    <x v="0"/>
  </r>
  <r>
    <x v="0"/>
    <x v="28"/>
    <s v="TST* From the H"/>
    <n v="5.98"/>
    <x v="0"/>
    <n v="-5.98"/>
    <x v="5"/>
    <x v="3"/>
    <x v="0"/>
  </r>
  <r>
    <x v="0"/>
    <x v="29"/>
    <s v="DUNSMUIR SUPERM"/>
    <n v="7.19"/>
    <x v="0"/>
    <n v="-7.19"/>
    <x v="5"/>
    <x v="3"/>
    <x v="0"/>
  </r>
  <r>
    <x v="0"/>
    <x v="30"/>
    <s v="SQ *THEORY COFF"/>
    <n v="6.5"/>
    <x v="0"/>
    <n v="-6.5"/>
    <x v="5"/>
    <x v="3"/>
    <x v="0"/>
  </r>
  <r>
    <x v="0"/>
    <x v="1"/>
    <s v="STARBUCKS STORE"/>
    <n v="4.4000000000000004"/>
    <x v="0"/>
    <n v="-4.4000000000000004"/>
    <x v="5"/>
    <x v="3"/>
    <x v="0"/>
  </r>
  <r>
    <x v="0"/>
    <x v="31"/>
    <s v="JANYAS THAI CUI"/>
    <n v="39"/>
    <x v="0"/>
    <n v="-39"/>
    <x v="5"/>
    <x v="3"/>
    <x v="0"/>
  </r>
  <r>
    <x v="0"/>
    <x v="10"/>
    <s v="SQ *BURRITO BAN"/>
    <n v="12.27"/>
    <x v="0"/>
    <n v="-12.27"/>
    <x v="5"/>
    <x v="3"/>
    <x v="0"/>
  </r>
  <r>
    <x v="0"/>
    <x v="2"/>
    <s v="Puerto Vallarta"/>
    <n v="35"/>
    <x v="0"/>
    <n v="-35"/>
    <x v="5"/>
    <x v="3"/>
    <x v="0"/>
  </r>
  <r>
    <x v="0"/>
    <x v="32"/>
    <s v="VIEW 202 REDDIN"/>
    <n v="87"/>
    <x v="0"/>
    <n v="-87"/>
    <x v="5"/>
    <x v="3"/>
    <x v="0"/>
  </r>
  <r>
    <x v="0"/>
    <x v="15"/>
    <s v="DEER VALLEY GRO"/>
    <n v="26.26"/>
    <x v="0"/>
    <n v="-26.26"/>
    <x v="5"/>
    <x v="3"/>
    <x v="0"/>
  </r>
  <r>
    <x v="0"/>
    <x v="15"/>
    <s v="ROCKY MTN CHOCO"/>
    <n v="3.58"/>
    <x v="0"/>
    <n v="-3.58"/>
    <x v="5"/>
    <x v="3"/>
    <x v="0"/>
  </r>
  <r>
    <x v="0"/>
    <x v="15"/>
    <s v="7-ELEVEN FOOD S"/>
    <n v="2.06"/>
    <x v="0"/>
    <n v="-2.06"/>
    <x v="5"/>
    <x v="3"/>
    <x v="0"/>
  </r>
  <r>
    <x v="0"/>
    <x v="15"/>
    <s v="SQ *NAMASH SWAH"/>
    <n v="8.6999999999999993"/>
    <x v="0"/>
    <n v="-8.6999999999999993"/>
    <x v="5"/>
    <x v="3"/>
    <x v="0"/>
  </r>
  <r>
    <x v="0"/>
    <x v="15"/>
    <s v="SQ *LES' BBQ SA"/>
    <n v="22.52"/>
    <x v="0"/>
    <n v="-22.52"/>
    <x v="5"/>
    <x v="3"/>
    <x v="0"/>
  </r>
  <r>
    <x v="0"/>
    <x v="33"/>
    <s v="TST* The Bridge"/>
    <n v="59.42"/>
    <x v="0"/>
    <n v="-59.42"/>
    <x v="5"/>
    <x v="3"/>
    <x v="0"/>
  </r>
  <r>
    <x v="0"/>
    <x v="33"/>
    <s v="SLC PANDA EXPRE"/>
    <n v="13.35"/>
    <x v="0"/>
    <n v="-13.35"/>
    <x v="5"/>
    <x v="3"/>
    <x v="0"/>
  </r>
  <r>
    <x v="0"/>
    <x v="34"/>
    <s v="STARBUCKS STORE"/>
    <n v="8.4"/>
    <x v="0"/>
    <n v="-8.4"/>
    <x v="5"/>
    <x v="3"/>
    <x v="0"/>
  </r>
  <r>
    <x v="0"/>
    <x v="16"/>
    <s v="LITTLE CAESARS "/>
    <n v="17.14"/>
    <x v="0"/>
    <n v="-17.14"/>
    <x v="5"/>
    <x v="3"/>
    <x v="0"/>
  </r>
  <r>
    <x v="0"/>
    <x v="35"/>
    <s v="Coffee with Ari"/>
    <n v="5.9"/>
    <x v="0"/>
    <n v="-5.9"/>
    <x v="5"/>
    <x v="3"/>
    <x v="0"/>
  </r>
  <r>
    <x v="0"/>
    <x v="3"/>
    <s v="SQ *FEAST COFFE"/>
    <n v="28"/>
    <x v="0"/>
    <n v="-28"/>
    <x v="5"/>
    <x v="3"/>
    <x v="0"/>
  </r>
  <r>
    <x v="0"/>
    <x v="3"/>
    <s v="PETER CHU'S SKY"/>
    <n v="60"/>
    <x v="0"/>
    <n v="-60"/>
    <x v="5"/>
    <x v="3"/>
    <x v="0"/>
  </r>
  <r>
    <x v="0"/>
    <x v="36"/>
    <s v="STARBUCKS STORE"/>
    <n v="3.65"/>
    <x v="0"/>
    <n v="-3.65"/>
    <x v="5"/>
    <x v="3"/>
    <x v="0"/>
  </r>
  <r>
    <x v="0"/>
    <x v="19"/>
    <s v="MOD PIZZA olo.c"/>
    <n v="26.36"/>
    <x v="0"/>
    <n v="-26.36"/>
    <x v="5"/>
    <x v="3"/>
    <x v="0"/>
  </r>
  <r>
    <x v="0"/>
    <x v="37"/>
    <s v="MOD PIZZA olo.c"/>
    <n v="26.36"/>
    <x v="0"/>
    <n v="-26.36"/>
    <x v="5"/>
    <x v="3"/>
    <x v="0"/>
  </r>
  <r>
    <x v="0"/>
    <x v="37"/>
    <s v="MOD PIZZA olo.c"/>
    <n v="26.36"/>
    <x v="0"/>
    <n v="-26.36"/>
    <x v="5"/>
    <x v="3"/>
    <x v="0"/>
  </r>
  <r>
    <x v="0"/>
    <x v="24"/>
    <s v="TAQUERIA LOS GO"/>
    <n v="32"/>
    <x v="0"/>
    <n v="-32"/>
    <x v="5"/>
    <x v="3"/>
    <x v="0"/>
  </r>
  <r>
    <x v="0"/>
    <x v="34"/>
    <s v="MODERN DAY 469-"/>
    <n v="222"/>
    <x v="0"/>
    <n v="-222"/>
    <x v="6"/>
    <x v="4"/>
    <x v="0"/>
  </r>
  <r>
    <x v="0"/>
    <x v="14"/>
    <s v="MODERN DAY"/>
    <n v="85"/>
    <x v="0"/>
    <n v="-85"/>
    <x v="6"/>
    <x v="4"/>
    <x v="0"/>
  </r>
  <r>
    <x v="1"/>
    <x v="38"/>
    <s v="PGANDE DES:WEB "/>
    <n v="10.53"/>
    <x v="0"/>
    <n v="-10.53"/>
    <x v="7"/>
    <x v="5"/>
    <x v="0"/>
  </r>
  <r>
    <x v="1"/>
    <x v="14"/>
    <s v="REDDING-E-BAT00"/>
    <n v="169.73"/>
    <x v="0"/>
    <n v="-169.73"/>
    <x v="7"/>
    <x v="5"/>
    <x v="0"/>
  </r>
  <r>
    <x v="1"/>
    <x v="39"/>
    <s v="PGANDE DES:WEB "/>
    <n v="11.93"/>
    <x v="0"/>
    <n v="-11.93"/>
    <x v="7"/>
    <x v="5"/>
    <x v="0"/>
  </r>
  <r>
    <x v="1"/>
    <x v="40"/>
    <s v="REDDING-E-BAT00"/>
    <n v="152.21"/>
    <x v="0"/>
    <n v="-152.21"/>
    <x v="7"/>
    <x v="5"/>
    <x v="0"/>
  </r>
  <r>
    <x v="1"/>
    <x v="4"/>
    <s v="PGANDE DES:WEB "/>
    <n v="9.89"/>
    <x v="0"/>
    <n v="-9.89"/>
    <x v="7"/>
    <x v="5"/>
    <x v="0"/>
  </r>
  <r>
    <x v="1"/>
    <x v="41"/>
    <s v="REDDING-E-BAT00"/>
    <n v="42.37"/>
    <x v="0"/>
    <n v="-42.37"/>
    <x v="7"/>
    <x v="5"/>
    <x v="0"/>
  </r>
  <r>
    <x v="1"/>
    <x v="34"/>
    <s v="Pillars of the "/>
    <n v="2.5"/>
    <x v="0"/>
    <n v="-2.5"/>
    <x v="8"/>
    <x v="0"/>
    <x v="0"/>
  </r>
  <r>
    <x v="0"/>
    <x v="4"/>
    <s v="SHELL OIL 57445"/>
    <n v="41.46"/>
    <x v="0"/>
    <n v="-41.46"/>
    <x v="9"/>
    <x v="1"/>
    <x v="0"/>
  </r>
  <r>
    <x v="0"/>
    <x v="42"/>
    <s v="SPEEDWAY 04063 "/>
    <n v="63.8"/>
    <x v="0"/>
    <n v="-63.8"/>
    <x v="9"/>
    <x v="1"/>
    <x v="0"/>
  </r>
  <r>
    <x v="1"/>
    <x v="41"/>
    <s v="CHECKCARD 0711 "/>
    <n v="37.549999999999997"/>
    <x v="0"/>
    <n v="-37.549999999999997"/>
    <x v="9"/>
    <x v="1"/>
    <x v="0"/>
  </r>
  <r>
    <x v="0"/>
    <x v="23"/>
    <s v="CHEVRON 0306060"/>
    <n v="59.34"/>
    <x v="0"/>
    <n v="-59.34"/>
    <x v="9"/>
    <x v="1"/>
    <x v="0"/>
  </r>
  <r>
    <x v="0"/>
    <x v="10"/>
    <s v="FAST STOP MINI "/>
    <n v="45"/>
    <x v="0"/>
    <n v="-45"/>
    <x v="9"/>
    <x v="1"/>
    <x v="0"/>
  </r>
  <r>
    <x v="0"/>
    <x v="43"/>
    <s v="FAST STOP MINI "/>
    <n v="50"/>
    <x v="0"/>
    <n v="-50"/>
    <x v="9"/>
    <x v="1"/>
    <x v="0"/>
  </r>
  <r>
    <x v="0"/>
    <x v="44"/>
    <s v="FAST STOP MINI "/>
    <n v="50"/>
    <x v="0"/>
    <n v="-50"/>
    <x v="9"/>
    <x v="1"/>
    <x v="0"/>
  </r>
  <r>
    <x v="0"/>
    <x v="45"/>
    <s v="FAST STOP MINI "/>
    <n v="48"/>
    <x v="0"/>
    <n v="-48"/>
    <x v="9"/>
    <x v="1"/>
    <x v="0"/>
  </r>
  <r>
    <x v="0"/>
    <x v="46"/>
    <s v="FAST STOP MINI "/>
    <n v="40.090000000000003"/>
    <x v="0"/>
    <n v="-40.090000000000003"/>
    <x v="9"/>
    <x v="1"/>
    <x v="0"/>
  </r>
  <r>
    <x v="0"/>
    <x v="47"/>
    <s v="FAST STOP MINI "/>
    <n v="40.090000000000003"/>
    <x v="0"/>
    <n v="-40.090000000000003"/>
    <x v="9"/>
    <x v="1"/>
    <x v="0"/>
  </r>
  <r>
    <x v="1"/>
    <x v="48"/>
    <s v="CHECKCARD 0803 "/>
    <n v="67.42"/>
    <x v="0"/>
    <n v="-67.42"/>
    <x v="9"/>
    <x v="1"/>
    <x v="0"/>
  </r>
  <r>
    <x v="0"/>
    <x v="34"/>
    <s v="ARCO#83838DUNNI"/>
    <n v="7.77"/>
    <x v="0"/>
    <n v="-7.77"/>
    <x v="9"/>
    <x v="1"/>
    <x v="0"/>
  </r>
  <r>
    <x v="0"/>
    <x v="34"/>
    <s v="FAST STOP MINI "/>
    <n v="33.200000000000003"/>
    <x v="0"/>
    <n v="-33.200000000000003"/>
    <x v="9"/>
    <x v="1"/>
    <x v="0"/>
  </r>
  <r>
    <x v="0"/>
    <x v="34"/>
    <s v="Oates Country S"/>
    <n v="50"/>
    <x v="0"/>
    <n v="-50"/>
    <x v="9"/>
    <x v="1"/>
    <x v="0"/>
  </r>
  <r>
    <x v="0"/>
    <x v="3"/>
    <s v="76 - BALLPARK 7"/>
    <n v="48.93"/>
    <x v="0"/>
    <n v="-48.93"/>
    <x v="9"/>
    <x v="1"/>
    <x v="0"/>
  </r>
  <r>
    <x v="0"/>
    <x v="49"/>
    <s v="SPEEDWAY 04063 "/>
    <n v="58.2"/>
    <x v="0"/>
    <n v="-58.2"/>
    <x v="9"/>
    <x v="1"/>
    <x v="0"/>
  </r>
  <r>
    <x v="0"/>
    <x v="50"/>
    <s v="SPEEDWAY 04063 "/>
    <n v="76.8"/>
    <x v="0"/>
    <n v="-76.8"/>
    <x v="9"/>
    <x v="1"/>
    <x v="0"/>
  </r>
  <r>
    <x v="0"/>
    <x v="51"/>
    <s v="DOLLAR TREE"/>
    <n v="0.54"/>
    <x v="0"/>
    <n v="-0.54"/>
    <x v="10"/>
    <x v="0"/>
    <x v="0"/>
  </r>
  <r>
    <x v="1"/>
    <x v="21"/>
    <s v="WINCO FOODS #5 "/>
    <n v="38.33"/>
    <x v="0"/>
    <n v="-38.33"/>
    <x v="10"/>
    <x v="0"/>
    <x v="0"/>
  </r>
  <r>
    <x v="0"/>
    <x v="6"/>
    <s v="Aunt Laurie bir"/>
    <n v="1.93"/>
    <x v="0"/>
    <n v="-1.93"/>
    <x v="10"/>
    <x v="0"/>
    <x v="0"/>
  </r>
  <r>
    <x v="0"/>
    <x v="8"/>
    <s v="SP ARENA FLOWER"/>
    <n v="48.37"/>
    <x v="0"/>
    <n v="-48.37"/>
    <x v="10"/>
    <x v="0"/>
    <x v="0"/>
  </r>
  <r>
    <x v="0"/>
    <x v="52"/>
    <s v="Coffee - Gift f"/>
    <n v="20"/>
    <x v="0"/>
    <n v="-20"/>
    <x v="10"/>
    <x v="0"/>
    <x v="0"/>
  </r>
  <r>
    <x v="0"/>
    <x v="53"/>
    <s v="ORCHARD NUTRITI"/>
    <n v="6.99"/>
    <x v="0"/>
    <n v="-6.99"/>
    <x v="11"/>
    <x v="5"/>
    <x v="0"/>
  </r>
  <r>
    <x v="0"/>
    <x v="20"/>
    <s v="REDDING GROCERY"/>
    <n v="24.97"/>
    <x v="0"/>
    <n v="-24.97"/>
    <x v="11"/>
    <x v="5"/>
    <x v="0"/>
  </r>
  <r>
    <x v="0"/>
    <x v="20"/>
    <s v="TRADER JOE S #2"/>
    <n v="3.99"/>
    <x v="0"/>
    <n v="-3.99"/>
    <x v="11"/>
    <x v="5"/>
    <x v="0"/>
  </r>
  <r>
    <x v="0"/>
    <x v="20"/>
    <s v="TRADER JOE S #2"/>
    <n v="17.84"/>
    <x v="0"/>
    <n v="-17.84"/>
    <x v="11"/>
    <x v="5"/>
    <x v="0"/>
  </r>
  <r>
    <x v="1"/>
    <x v="44"/>
    <s v="PMNT SENT 0902 "/>
    <n v="10"/>
    <x v="0"/>
    <n v="-10"/>
    <x v="11"/>
    <x v="5"/>
    <x v="0"/>
  </r>
  <r>
    <x v="0"/>
    <x v="38"/>
    <s v="SAFEWAY #1954 R"/>
    <n v="17.47"/>
    <x v="0"/>
    <n v="-17.47"/>
    <x v="11"/>
    <x v="5"/>
    <x v="0"/>
  </r>
  <r>
    <x v="0"/>
    <x v="14"/>
    <s v="TRADER JOE S #2"/>
    <n v="18.25"/>
    <x v="0"/>
    <n v="-18.25"/>
    <x v="11"/>
    <x v="5"/>
    <x v="0"/>
  </r>
  <r>
    <x v="0"/>
    <x v="14"/>
    <s v="SAFEWAY #1954 R"/>
    <n v="20.47"/>
    <x v="0"/>
    <n v="-20.47"/>
    <x v="11"/>
    <x v="5"/>
    <x v="0"/>
  </r>
  <r>
    <x v="1"/>
    <x v="54"/>
    <s v="WINCO FOODS #5 "/>
    <n v="12.82"/>
    <x v="0"/>
    <n v="-12.82"/>
    <x v="11"/>
    <x v="5"/>
    <x v="0"/>
  </r>
  <r>
    <x v="0"/>
    <x v="55"/>
    <s v="TRADER JOE S #2"/>
    <n v="16.45"/>
    <x v="0"/>
    <n v="-16.45"/>
    <x v="11"/>
    <x v="5"/>
    <x v="0"/>
  </r>
  <r>
    <x v="0"/>
    <x v="55"/>
    <s v="COSTCO WHSE #14"/>
    <n v="88.93"/>
    <x v="0"/>
    <n v="-88.93"/>
    <x v="11"/>
    <x v="5"/>
    <x v="0"/>
  </r>
  <r>
    <x v="1"/>
    <x v="55"/>
    <s v="WINCO FOODS #5 "/>
    <n v="91.17"/>
    <x v="0"/>
    <n v="-91.17"/>
    <x v="11"/>
    <x v="5"/>
    <x v="0"/>
  </r>
  <r>
    <x v="1"/>
    <x v="21"/>
    <s v="WINCO FOODS #5 "/>
    <n v="17.5"/>
    <x v="0"/>
    <n v="-17.5"/>
    <x v="11"/>
    <x v="5"/>
    <x v="0"/>
  </r>
  <r>
    <x v="1"/>
    <x v="56"/>
    <s v="WINCO FOODS #58"/>
    <n v="54.29"/>
    <x v="0"/>
    <n v="-54.29"/>
    <x v="11"/>
    <x v="5"/>
    <x v="0"/>
  </r>
  <r>
    <x v="0"/>
    <x v="42"/>
    <s v="REDDING GROCERY"/>
    <n v="24.32"/>
    <x v="0"/>
    <n v="-24.32"/>
    <x v="11"/>
    <x v="5"/>
    <x v="0"/>
  </r>
  <r>
    <x v="0"/>
    <x v="42"/>
    <s v="TRADER JOE S #2"/>
    <n v="13.46"/>
    <x v="0"/>
    <n v="-13.46"/>
    <x v="11"/>
    <x v="5"/>
    <x v="0"/>
  </r>
  <r>
    <x v="0"/>
    <x v="28"/>
    <s v="WAL-MART #2537 "/>
    <n v="4.57"/>
    <x v="0"/>
    <n v="-4.57"/>
    <x v="11"/>
    <x v="5"/>
    <x v="0"/>
  </r>
  <r>
    <x v="0"/>
    <x v="9"/>
    <s v="TRADER JOE S #2"/>
    <n v="17.23"/>
    <x v="0"/>
    <n v="-17.23"/>
    <x v="11"/>
    <x v="5"/>
    <x v="0"/>
  </r>
  <r>
    <x v="0"/>
    <x v="57"/>
    <s v="TRADER JOE S #2"/>
    <n v="13.27"/>
    <x v="0"/>
    <n v="-13.27"/>
    <x v="11"/>
    <x v="5"/>
    <x v="0"/>
  </r>
  <r>
    <x v="0"/>
    <x v="57"/>
    <s v="COSTCO WHSE #14"/>
    <n v="66.56"/>
    <x v="0"/>
    <n v="-66.56"/>
    <x v="11"/>
    <x v="5"/>
    <x v="0"/>
  </r>
  <r>
    <x v="0"/>
    <x v="58"/>
    <s v="Target"/>
    <n v="11.87"/>
    <x v="0"/>
    <n v="-11.87"/>
    <x v="11"/>
    <x v="5"/>
    <x v="0"/>
  </r>
  <r>
    <x v="0"/>
    <x v="17"/>
    <s v="SPROUTS FARMERS"/>
    <n v="5.79"/>
    <x v="0"/>
    <n v="-5.79"/>
    <x v="11"/>
    <x v="5"/>
    <x v="0"/>
  </r>
  <r>
    <x v="0"/>
    <x v="23"/>
    <s v="TRADER JOE S #2"/>
    <n v="10.44"/>
    <x v="0"/>
    <n v="-10.44"/>
    <x v="11"/>
    <x v="5"/>
    <x v="0"/>
  </r>
  <r>
    <x v="0"/>
    <x v="1"/>
    <s v="Protein Powder "/>
    <n v="33.81"/>
    <x v="0"/>
    <n v="-33.81"/>
    <x v="11"/>
    <x v="5"/>
    <x v="0"/>
  </r>
  <r>
    <x v="0"/>
    <x v="1"/>
    <s v="TRADER JOE S #2"/>
    <n v="31.28"/>
    <x v="0"/>
    <n v="-31.28"/>
    <x v="11"/>
    <x v="5"/>
    <x v="0"/>
  </r>
  <r>
    <x v="0"/>
    <x v="1"/>
    <s v="R &amp; R QUALITY M"/>
    <n v="47.75"/>
    <x v="0"/>
    <n v="-47.75"/>
    <x v="11"/>
    <x v="5"/>
    <x v="0"/>
  </r>
  <r>
    <x v="0"/>
    <x v="59"/>
    <s v="TRADER JOE S #2"/>
    <n v="13.93"/>
    <x v="0"/>
    <n v="-13.93"/>
    <x v="11"/>
    <x v="5"/>
    <x v="0"/>
  </r>
  <r>
    <x v="0"/>
    <x v="10"/>
    <s v="WAL-MART #2537 "/>
    <n v="25.31"/>
    <x v="0"/>
    <n v="-25.31"/>
    <x v="11"/>
    <x v="5"/>
    <x v="0"/>
  </r>
  <r>
    <x v="0"/>
    <x v="10"/>
    <s v="ORCHARD NUTRITI"/>
    <n v="4.99"/>
    <x v="0"/>
    <n v="-4.99"/>
    <x v="11"/>
    <x v="5"/>
    <x v="0"/>
  </r>
  <r>
    <x v="0"/>
    <x v="10"/>
    <s v="RALEY S #248 RE"/>
    <n v="6.49"/>
    <x v="0"/>
    <n v="-6.49"/>
    <x v="11"/>
    <x v="5"/>
    <x v="0"/>
  </r>
  <r>
    <x v="0"/>
    <x v="2"/>
    <s v="GROCERY OUTLET "/>
    <n v="12.41"/>
    <x v="0"/>
    <n v="-12.41"/>
    <x v="11"/>
    <x v="5"/>
    <x v="0"/>
  </r>
  <r>
    <x v="0"/>
    <x v="2"/>
    <s v="TRADER JOE S #2"/>
    <n v="6.98"/>
    <x v="0"/>
    <n v="-6.98"/>
    <x v="11"/>
    <x v="5"/>
    <x v="0"/>
  </r>
  <r>
    <x v="0"/>
    <x v="2"/>
    <s v="SQ *DHILLON FAR"/>
    <n v="5"/>
    <x v="0"/>
    <n v="-5"/>
    <x v="11"/>
    <x v="5"/>
    <x v="0"/>
  </r>
  <r>
    <x v="1"/>
    <x v="2"/>
    <s v="WINCO FOODS #5 "/>
    <n v="56.71"/>
    <x v="0"/>
    <n v="-56.71"/>
    <x v="11"/>
    <x v="5"/>
    <x v="0"/>
  </r>
  <r>
    <x v="0"/>
    <x v="60"/>
    <s v="TRADER JOE S #2"/>
    <n v="41.47"/>
    <x v="0"/>
    <n v="-41.47"/>
    <x v="11"/>
    <x v="5"/>
    <x v="0"/>
  </r>
  <r>
    <x v="0"/>
    <x v="33"/>
    <s v="ORCHARD NUTRITI"/>
    <n v="8.98"/>
    <x v="0"/>
    <n v="-8.98"/>
    <x v="11"/>
    <x v="5"/>
    <x v="0"/>
  </r>
  <r>
    <x v="0"/>
    <x v="40"/>
    <s v="TRADER JOE S #2"/>
    <n v="23.41"/>
    <x v="0"/>
    <n v="-23.41"/>
    <x v="11"/>
    <x v="5"/>
    <x v="0"/>
  </r>
  <r>
    <x v="0"/>
    <x v="61"/>
    <s v="SAFEWAY #1954 R"/>
    <n v="14.98"/>
    <x v="0"/>
    <n v="-14.98"/>
    <x v="11"/>
    <x v="5"/>
    <x v="0"/>
  </r>
  <r>
    <x v="0"/>
    <x v="34"/>
    <s v=" Protein powder"/>
    <n v="0"/>
    <x v="1"/>
    <n v="143.22"/>
    <x v="11"/>
    <x v="5"/>
    <x v="0"/>
  </r>
  <r>
    <x v="0"/>
    <x v="35"/>
    <s v="TRADER JOE S #2"/>
    <n v="3.99"/>
    <x v="0"/>
    <n v="-3.99"/>
    <x v="11"/>
    <x v="5"/>
    <x v="0"/>
  </r>
  <r>
    <x v="0"/>
    <x v="35"/>
    <s v="TRADER JOE S #2"/>
    <n v="13.32"/>
    <x v="0"/>
    <n v="-13.32"/>
    <x v="11"/>
    <x v="5"/>
    <x v="0"/>
  </r>
  <r>
    <x v="0"/>
    <x v="13"/>
    <s v="TRADER JOE S #2"/>
    <n v="12.47"/>
    <x v="0"/>
    <n v="-12.47"/>
    <x v="11"/>
    <x v="5"/>
    <x v="0"/>
  </r>
  <r>
    <x v="0"/>
    <x v="13"/>
    <s v="Dollar Tree"/>
    <n v="1.34"/>
    <x v="0"/>
    <n v="-1.34"/>
    <x v="11"/>
    <x v="5"/>
    <x v="0"/>
  </r>
  <r>
    <x v="0"/>
    <x v="13"/>
    <s v="SAFEWAY #1954 R"/>
    <n v="17.47"/>
    <x v="0"/>
    <n v="-17.47"/>
    <x v="11"/>
    <x v="5"/>
    <x v="0"/>
  </r>
  <r>
    <x v="0"/>
    <x v="62"/>
    <s v="TRADER JOE S #2"/>
    <n v="10.26"/>
    <x v="0"/>
    <n v="-10.26"/>
    <x v="11"/>
    <x v="5"/>
    <x v="0"/>
  </r>
  <r>
    <x v="0"/>
    <x v="3"/>
    <s v="COSTCO WHSE #14"/>
    <n v="85.58"/>
    <x v="0"/>
    <n v="-85.58"/>
    <x v="11"/>
    <x v="5"/>
    <x v="0"/>
  </r>
  <r>
    <x v="1"/>
    <x v="3"/>
    <s v="WINCO FOODS #5 "/>
    <n v="106.9"/>
    <x v="0"/>
    <n v="-106.9"/>
    <x v="11"/>
    <x v="5"/>
    <x v="0"/>
  </r>
  <r>
    <x v="1"/>
    <x v="37"/>
    <s v="WINCO FOODS #5 "/>
    <n v="106.9"/>
    <x v="0"/>
    <n v="-106.9"/>
    <x v="11"/>
    <x v="5"/>
    <x v="0"/>
  </r>
  <r>
    <x v="1"/>
    <x v="37"/>
    <s v="WINCO FOODS #5 "/>
    <n v="106.9"/>
    <x v="0"/>
    <n v="-106.9"/>
    <x v="11"/>
    <x v="5"/>
    <x v="0"/>
  </r>
  <r>
    <x v="0"/>
    <x v="63"/>
    <s v="TRADER JOE S #2"/>
    <n v="23.23"/>
    <x v="0"/>
    <n v="-23.23"/>
    <x v="11"/>
    <x v="5"/>
    <x v="0"/>
  </r>
  <r>
    <x v="0"/>
    <x v="63"/>
    <s v="ORCHARD NUTRITI"/>
    <n v="6.99"/>
    <x v="0"/>
    <n v="-6.99"/>
    <x v="11"/>
    <x v="5"/>
    <x v="0"/>
  </r>
  <r>
    <x v="0"/>
    <x v="64"/>
    <s v="ORCHARD NUTRITI"/>
    <n v="17.98"/>
    <x v="0"/>
    <n v="-17.98"/>
    <x v="11"/>
    <x v="5"/>
    <x v="0"/>
  </r>
  <r>
    <x v="0"/>
    <x v="36"/>
    <s v="TRADER JOE S #2"/>
    <n v="20.74"/>
    <x v="0"/>
    <n v="-20.74"/>
    <x v="11"/>
    <x v="5"/>
    <x v="0"/>
  </r>
  <r>
    <x v="0"/>
    <x v="36"/>
    <s v="ORCHARD NUTRITI"/>
    <n v="5.29"/>
    <x v="0"/>
    <n v="-5.29"/>
    <x v="11"/>
    <x v="5"/>
    <x v="0"/>
  </r>
  <r>
    <x v="0"/>
    <x v="19"/>
    <s v="TRADER JOE S #2"/>
    <n v="19.350000000000001"/>
    <x v="0"/>
    <n v="-19.350000000000001"/>
    <x v="11"/>
    <x v="5"/>
    <x v="0"/>
  </r>
  <r>
    <x v="0"/>
    <x v="19"/>
    <s v="SAFEWAY #1954 R"/>
    <n v="25.97"/>
    <x v="0"/>
    <n v="-25.97"/>
    <x v="11"/>
    <x v="5"/>
    <x v="0"/>
  </r>
  <r>
    <x v="0"/>
    <x v="19"/>
    <s v="TRADER JOE S #2"/>
    <n v="19.84"/>
    <x v="0"/>
    <n v="-19.84"/>
    <x v="11"/>
    <x v="5"/>
    <x v="0"/>
  </r>
  <r>
    <x v="0"/>
    <x v="65"/>
    <s v="ORCHARD NUTRITI"/>
    <n v="6.99"/>
    <x v="0"/>
    <n v="-6.99"/>
    <x v="11"/>
    <x v="5"/>
    <x v="0"/>
  </r>
  <r>
    <x v="1"/>
    <x v="50"/>
    <s v="WINCO FOODS #5 "/>
    <n v="33.68"/>
    <x v="0"/>
    <n v="-33.68"/>
    <x v="11"/>
    <x v="5"/>
    <x v="0"/>
  </r>
  <r>
    <x v="1"/>
    <x v="8"/>
    <s v="WINCO FOODS #5 "/>
    <n v="8.5399999999999991"/>
    <x v="0"/>
    <n v="-8.5399999999999991"/>
    <x v="11"/>
    <x v="5"/>
    <x v="0"/>
  </r>
  <r>
    <x v="0"/>
    <x v="8"/>
    <s v="Furniture Pads "/>
    <n v="8.48"/>
    <x v="0"/>
    <n v="-8.48"/>
    <x v="11"/>
    <x v="5"/>
    <x v="0"/>
  </r>
  <r>
    <x v="0"/>
    <x v="8"/>
    <s v="Plants - SPROUT"/>
    <n v="8.57"/>
    <x v="0"/>
    <n v="-8.57"/>
    <x v="11"/>
    <x v="5"/>
    <x v="0"/>
  </r>
  <r>
    <x v="0"/>
    <x v="5"/>
    <s v="Plants - LOWES "/>
    <n v="28.64"/>
    <x v="0"/>
    <n v="-28.64"/>
    <x v="11"/>
    <x v="5"/>
    <x v="0"/>
  </r>
  <r>
    <x v="1"/>
    <x v="42"/>
    <s v="WINCO FOODS #5 "/>
    <n v="2.82"/>
    <x v="0"/>
    <n v="-2.82"/>
    <x v="11"/>
    <x v="5"/>
    <x v="0"/>
  </r>
  <r>
    <x v="0"/>
    <x v="42"/>
    <s v="Mum Plant - RED"/>
    <n v="4.99"/>
    <x v="0"/>
    <n v="-4.99"/>
    <x v="11"/>
    <x v="5"/>
    <x v="0"/>
  </r>
  <r>
    <x v="0"/>
    <x v="28"/>
    <s v="WAL-MART #2537 "/>
    <n v="24.12"/>
    <x v="0"/>
    <n v="-24.12"/>
    <x v="11"/>
    <x v="5"/>
    <x v="0"/>
  </r>
  <r>
    <x v="1"/>
    <x v="57"/>
    <s v="WINCO FOODS #5 "/>
    <n v="6.43"/>
    <x v="0"/>
    <n v="-6.43"/>
    <x v="11"/>
    <x v="5"/>
    <x v="0"/>
  </r>
  <r>
    <x v="0"/>
    <x v="57"/>
    <s v="Britta Filters "/>
    <n v="13.4"/>
    <x v="0"/>
    <n v="-13.4"/>
    <x v="11"/>
    <x v="5"/>
    <x v="0"/>
  </r>
  <r>
    <x v="0"/>
    <x v="58"/>
    <s v="Target"/>
    <n v="10.89"/>
    <x v="0"/>
    <n v="-10.89"/>
    <x v="11"/>
    <x v="5"/>
    <x v="0"/>
  </r>
  <r>
    <x v="0"/>
    <x v="58"/>
    <s v="Bathroom trashc"/>
    <n v="17.149999999999999"/>
    <x v="0"/>
    <n v="-17.149999999999999"/>
    <x v="11"/>
    <x v="5"/>
    <x v="0"/>
  </r>
  <r>
    <x v="0"/>
    <x v="66"/>
    <s v="Toilet Brush - "/>
    <n v="8.0299999999999994"/>
    <x v="0"/>
    <n v="-8.0299999999999994"/>
    <x v="11"/>
    <x v="5"/>
    <x v="0"/>
  </r>
  <r>
    <x v="1"/>
    <x v="1"/>
    <s v="WINCO FOODS #5 "/>
    <n v="7.23"/>
    <x v="0"/>
    <n v="-7.23"/>
    <x v="11"/>
    <x v="5"/>
    <x v="0"/>
  </r>
  <r>
    <x v="0"/>
    <x v="10"/>
    <s v="WAL-MART #2537 "/>
    <n v="4.97"/>
    <x v="0"/>
    <n v="-4.97"/>
    <x v="11"/>
    <x v="5"/>
    <x v="0"/>
  </r>
  <r>
    <x v="0"/>
    <x v="53"/>
    <s v="LIFT CROSSFIT"/>
    <n v="19.309999999999999"/>
    <x v="0"/>
    <n v="-19.309999999999999"/>
    <x v="12"/>
    <x v="0"/>
    <x v="0"/>
  </r>
  <r>
    <x v="0"/>
    <x v="55"/>
    <s v="LIFT CROSSFIT"/>
    <n v="112"/>
    <x v="0"/>
    <n v="-112"/>
    <x v="12"/>
    <x v="0"/>
    <x v="0"/>
  </r>
  <r>
    <x v="0"/>
    <x v="26"/>
    <s v="SHASTA FAMILY Y"/>
    <n v="57.5"/>
    <x v="0"/>
    <n v="-57.5"/>
    <x v="12"/>
    <x v="0"/>
    <x v="0"/>
  </r>
  <r>
    <x v="0"/>
    <x v="42"/>
    <s v="LIFT CROSSFIT"/>
    <n v="3.22"/>
    <x v="0"/>
    <n v="-3.22"/>
    <x v="12"/>
    <x v="0"/>
    <x v="0"/>
  </r>
  <r>
    <x v="0"/>
    <x v="57"/>
    <s v="LIFT CROSSFIT"/>
    <n v="112"/>
    <x v="0"/>
    <n v="-112"/>
    <x v="12"/>
    <x v="0"/>
    <x v="0"/>
  </r>
  <r>
    <x v="0"/>
    <x v="23"/>
    <s v="SHASTA FAMILY Y"/>
    <n v="57.5"/>
    <x v="0"/>
    <n v="-57.5"/>
    <x v="12"/>
    <x v="0"/>
    <x v="0"/>
  </r>
  <r>
    <x v="0"/>
    <x v="34"/>
    <s v="TRAIN HEROIC, L"/>
    <n v="21"/>
    <x v="0"/>
    <n v="-21"/>
    <x v="12"/>
    <x v="0"/>
    <x v="0"/>
  </r>
  <r>
    <x v="0"/>
    <x v="3"/>
    <s v="SHASTA FAMILY Y"/>
    <n v="57.5"/>
    <x v="0"/>
    <n v="-57.5"/>
    <x v="12"/>
    <x v="0"/>
    <x v="0"/>
  </r>
  <r>
    <x v="0"/>
    <x v="0"/>
    <s v="SQ *ZACH J HERN"/>
    <n v="30"/>
    <x v="0"/>
    <n v="-30"/>
    <x v="13"/>
    <x v="5"/>
    <x v="0"/>
  </r>
  <r>
    <x v="0"/>
    <x v="57"/>
    <s v="SQ *ZACH J HERN"/>
    <n v="26"/>
    <x v="0"/>
    <n v="-26"/>
    <x v="13"/>
    <x v="5"/>
    <x v="0"/>
  </r>
  <r>
    <x v="0"/>
    <x v="48"/>
    <s v=" Haircut - 5740"/>
    <n v="25"/>
    <x v="0"/>
    <n v="-25"/>
    <x v="13"/>
    <x v="5"/>
    <x v="0"/>
  </r>
  <r>
    <x v="0"/>
    <x v="4"/>
    <s v="GOOGLE *Google "/>
    <n v="2.17"/>
    <x v="0"/>
    <n v="-2.17"/>
    <x v="14"/>
    <x v="5"/>
    <x v="0"/>
  </r>
  <r>
    <x v="0"/>
    <x v="30"/>
    <s v="Spectrum"/>
    <n v="79.73"/>
    <x v="0"/>
    <n v="-79.73"/>
    <x v="14"/>
    <x v="5"/>
    <x v="0"/>
  </r>
  <r>
    <x v="0"/>
    <x v="15"/>
    <s v="GOOGLE *Google "/>
    <n v="2.2000000000000002"/>
    <x v="0"/>
    <n v="-2.2000000000000002"/>
    <x v="14"/>
    <x v="5"/>
    <x v="0"/>
  </r>
  <r>
    <x v="0"/>
    <x v="15"/>
    <s v="GOOGLE *Google "/>
    <n v="2.2000000000000002"/>
    <x v="0"/>
    <n v="-2.2000000000000002"/>
    <x v="14"/>
    <x v="5"/>
    <x v="0"/>
  </r>
  <r>
    <x v="0"/>
    <x v="63"/>
    <s v="Spectrum"/>
    <n v="69.989999999999995"/>
    <x v="0"/>
    <n v="-69.989999999999995"/>
    <x v="14"/>
    <x v="5"/>
    <x v="0"/>
  </r>
  <r>
    <x v="0"/>
    <x v="56"/>
    <s v="Spectrum"/>
    <n v="69.989999999999995"/>
    <x v="0"/>
    <n v="-69.989999999999995"/>
    <x v="14"/>
    <x v="5"/>
    <x v="0"/>
  </r>
  <r>
    <x v="0"/>
    <x v="54"/>
    <s v="CVS/PHARMACY #1"/>
    <n v="17.600000000000001"/>
    <x v="0"/>
    <n v="-17.600000000000001"/>
    <x v="15"/>
    <x v="2"/>
    <x v="0"/>
  </r>
  <r>
    <x v="0"/>
    <x v="32"/>
    <s v="DANA PARK DENTA"/>
    <n v="25"/>
    <x v="0"/>
    <n v="-25"/>
    <x v="15"/>
    <x v="2"/>
    <x v="0"/>
  </r>
  <r>
    <x v="0"/>
    <x v="63"/>
    <s v=" Probiotics"/>
    <n v="30.5"/>
    <x v="0"/>
    <n v="-30.5"/>
    <x v="15"/>
    <x v="2"/>
    <x v="0"/>
  </r>
  <r>
    <x v="0"/>
    <x v="37"/>
    <s v="Amazon.com*TX2G"/>
    <n v="30.5"/>
    <x v="0"/>
    <n v="-30.5"/>
    <x v="15"/>
    <x v="2"/>
    <x v="0"/>
  </r>
  <r>
    <x v="0"/>
    <x v="27"/>
    <s v="HILLTOP MEDICAL"/>
    <n v="54"/>
    <x v="0"/>
    <n v="-54"/>
    <x v="15"/>
    <x v="2"/>
    <x v="0"/>
  </r>
  <r>
    <x v="1"/>
    <x v="57"/>
    <s v="Allergy meds - "/>
    <n v="9.98"/>
    <x v="0"/>
    <n v="-9.98"/>
    <x v="15"/>
    <x v="2"/>
    <x v="0"/>
  </r>
  <r>
    <x v="0"/>
    <x v="17"/>
    <s v="Probiotics - Am"/>
    <n v="30.5"/>
    <x v="0"/>
    <n v="-30.5"/>
    <x v="15"/>
    <x v="2"/>
    <x v="0"/>
  </r>
  <r>
    <x v="0"/>
    <x v="55"/>
    <s v="CITY OF REDDING"/>
    <n v="1"/>
    <x v="0"/>
    <n v="-1"/>
    <x v="16"/>
    <x v="1"/>
    <x v="0"/>
  </r>
  <r>
    <x v="0"/>
    <x v="21"/>
    <s v="SQ *CALIFORNIA "/>
    <n v="5"/>
    <x v="0"/>
    <n v="-5"/>
    <x v="16"/>
    <x v="1"/>
    <x v="0"/>
  </r>
  <r>
    <x v="1"/>
    <x v="4"/>
    <s v="Castle Craggs P"/>
    <n v="8"/>
    <x v="0"/>
    <n v="-8"/>
    <x v="16"/>
    <x v="1"/>
    <x v="0"/>
  </r>
  <r>
    <x v="0"/>
    <x v="42"/>
    <s v="CITY OF REDDING"/>
    <n v="1"/>
    <x v="0"/>
    <n v="-1"/>
    <x v="16"/>
    <x v="1"/>
    <x v="0"/>
  </r>
  <r>
    <x v="0"/>
    <x v="28"/>
    <s v="CITY OF REDDING"/>
    <n v="1"/>
    <x v="0"/>
    <n v="-1"/>
    <x v="16"/>
    <x v="1"/>
    <x v="0"/>
  </r>
  <r>
    <x v="0"/>
    <x v="29"/>
    <s v="CITY OF REDDING"/>
    <n v="1.5"/>
    <x v="0"/>
    <n v="-1.5"/>
    <x v="16"/>
    <x v="1"/>
    <x v="0"/>
  </r>
  <r>
    <x v="0"/>
    <x v="48"/>
    <s v="CITY OF REDDING"/>
    <n v="1.5"/>
    <x v="0"/>
    <n v="-1.5"/>
    <x v="16"/>
    <x v="1"/>
    <x v="0"/>
  </r>
  <r>
    <x v="0"/>
    <x v="34"/>
    <s v="TCB*MTA METER M"/>
    <n v="0.88"/>
    <x v="0"/>
    <n v="-0.88"/>
    <x v="16"/>
    <x v="1"/>
    <x v="0"/>
  </r>
  <r>
    <x v="0"/>
    <x v="7"/>
    <s v="CITY OF REDDING"/>
    <n v="0.5"/>
    <x v="0"/>
    <n v="-0.5"/>
    <x v="16"/>
    <x v="1"/>
    <x v="0"/>
  </r>
  <r>
    <x v="1"/>
    <x v="43"/>
    <s v="Verizon"/>
    <n v="52"/>
    <x v="0"/>
    <n v="-52"/>
    <x v="17"/>
    <x v="5"/>
    <x v="0"/>
  </r>
  <r>
    <x v="0"/>
    <x v="19"/>
    <s v="VESTA *AT&amp;T PRE"/>
    <n v="41.51"/>
    <x v="0"/>
    <n v="-41.51"/>
    <x v="17"/>
    <x v="5"/>
    <x v="0"/>
  </r>
  <r>
    <x v="1"/>
    <x v="8"/>
    <s v="Verizon"/>
    <n v="52"/>
    <x v="0"/>
    <n v="-52"/>
    <x v="17"/>
    <x v="5"/>
    <x v="0"/>
  </r>
  <r>
    <x v="0"/>
    <x v="67"/>
    <s v="VESTA *AT&amp;T PRE"/>
    <n v="41.51"/>
    <x v="0"/>
    <n v="-41.51"/>
    <x v="17"/>
    <x v="5"/>
    <x v="0"/>
  </r>
  <r>
    <x v="1"/>
    <x v="2"/>
    <s v="Verizon"/>
    <n v="52"/>
    <x v="0"/>
    <n v="-52"/>
    <x v="17"/>
    <x v="5"/>
    <x v="0"/>
  </r>
  <r>
    <x v="1"/>
    <x v="44"/>
    <s v="Redding Hilltop"/>
    <n v="1000"/>
    <x v="0"/>
    <n v="-1000"/>
    <x v="18"/>
    <x v="5"/>
    <x v="0"/>
  </r>
  <r>
    <x v="1"/>
    <x v="5"/>
    <s v="Redding Hilltop"/>
    <n v="1000"/>
    <x v="0"/>
    <n v="-1000"/>
    <x v="18"/>
    <x v="5"/>
    <x v="0"/>
  </r>
  <r>
    <x v="1"/>
    <x v="68"/>
    <s v="Redding Hilltop"/>
    <n v="1000"/>
    <x v="0"/>
    <n v="-1000"/>
    <x v="18"/>
    <x v="5"/>
    <x v="0"/>
  </r>
  <r>
    <x v="1"/>
    <x v="44"/>
    <s v="USAA P&amp;C"/>
    <n v="98.2"/>
    <x v="0"/>
    <n v="-98.2"/>
    <x v="19"/>
    <x v="5"/>
    <x v="0"/>
  </r>
  <r>
    <x v="1"/>
    <x v="55"/>
    <s v="USAA P&amp;C"/>
    <n v="98.19"/>
    <x v="0"/>
    <n v="-98.19"/>
    <x v="19"/>
    <x v="5"/>
    <x v="0"/>
  </r>
  <r>
    <x v="1"/>
    <x v="5"/>
    <s v="USAA P&amp;C"/>
    <n v="89.32"/>
    <x v="0"/>
    <n v="-89.32"/>
    <x v="19"/>
    <x v="5"/>
    <x v="0"/>
  </r>
  <r>
    <x v="1"/>
    <x v="22"/>
    <s v="USAA P&amp;C"/>
    <n v="89.28"/>
    <x v="0"/>
    <n v="-89.28"/>
    <x v="19"/>
    <x v="5"/>
    <x v="0"/>
  </r>
  <r>
    <x v="1"/>
    <x v="35"/>
    <s v="USAA P&amp;C"/>
    <n v="89.28"/>
    <x v="0"/>
    <n v="-89.28"/>
    <x v="19"/>
    <x v="5"/>
    <x v="0"/>
  </r>
  <r>
    <x v="1"/>
    <x v="60"/>
    <s v="USAA P&amp;C"/>
    <n v="89.28"/>
    <x v="0"/>
    <n v="-89.28"/>
    <x v="19"/>
    <x v="5"/>
    <x v="0"/>
  </r>
  <r>
    <x v="1"/>
    <x v="45"/>
    <s v="BARRETT BUSINES"/>
    <m/>
    <x v="2"/>
    <n v="2550.61"/>
    <x v="20"/>
    <x v="6"/>
    <x v="1"/>
  </r>
  <r>
    <x v="1"/>
    <x v="4"/>
    <s v="BARRETT BUSINES"/>
    <m/>
    <x v="3"/>
    <n v="1898.03"/>
    <x v="20"/>
    <x v="6"/>
    <x v="1"/>
  </r>
  <r>
    <x v="1"/>
    <x v="23"/>
    <s v="BARRETT BUSINES"/>
    <m/>
    <x v="4"/>
    <n v="1898.02"/>
    <x v="20"/>
    <x v="6"/>
    <x v="1"/>
  </r>
  <r>
    <x v="1"/>
    <x v="52"/>
    <s v="BARRETT BUSINES"/>
    <m/>
    <x v="5"/>
    <n v="2550.62"/>
    <x v="20"/>
    <x v="6"/>
    <x v="1"/>
  </r>
  <r>
    <x v="1"/>
    <x v="7"/>
    <s v="BARRETT BUSINES"/>
    <m/>
    <x v="2"/>
    <n v="2550.61"/>
    <x v="20"/>
    <x v="6"/>
    <x v="1"/>
  </r>
  <r>
    <x v="1"/>
    <x v="43"/>
    <s v="BARRETT BUSINES"/>
    <m/>
    <x v="2"/>
    <n v="2550.61"/>
    <x v="20"/>
    <x v="6"/>
    <x v="1"/>
  </r>
  <r>
    <x v="0"/>
    <x v="69"/>
    <s v="APPLE.COM/BILL"/>
    <n v="1.99"/>
    <x v="0"/>
    <n v="-1.99"/>
    <x v="21"/>
    <x v="5"/>
    <x v="0"/>
  </r>
  <r>
    <x v="0"/>
    <x v="29"/>
    <s v="Microsoft*Micro"/>
    <n v="6.99"/>
    <x v="0"/>
    <n v="-6.99"/>
    <x v="21"/>
    <x v="5"/>
    <x v="0"/>
  </r>
  <r>
    <x v="0"/>
    <x v="1"/>
    <s v="HP *INSTANT INK"/>
    <n v="10.71"/>
    <x v="0"/>
    <n v="-10.71"/>
    <x v="21"/>
    <x v="5"/>
    <x v="0"/>
  </r>
  <r>
    <x v="0"/>
    <x v="2"/>
    <s v="APPLE.COM/BILL"/>
    <n v="2.99"/>
    <x v="0"/>
    <n v="-2.99"/>
    <x v="21"/>
    <x v="5"/>
    <x v="0"/>
  </r>
  <r>
    <x v="0"/>
    <x v="52"/>
    <s v="APPLE.COM/BILL"/>
    <n v="1.99"/>
    <x v="0"/>
    <n v="-1.99"/>
    <x v="21"/>
    <x v="5"/>
    <x v="0"/>
  </r>
  <r>
    <x v="0"/>
    <x v="35"/>
    <s v="Microsoft*Micro"/>
    <n v="6.99"/>
    <x v="0"/>
    <n v="-6.99"/>
    <x v="21"/>
    <x v="5"/>
    <x v="0"/>
  </r>
  <r>
    <x v="0"/>
    <x v="3"/>
    <s v="HP *INSTANT INK"/>
    <n v="1.06"/>
    <x v="0"/>
    <n v="-1.06"/>
    <x v="21"/>
    <x v="5"/>
    <x v="0"/>
  </r>
  <r>
    <x v="0"/>
    <x v="38"/>
    <s v="GOOGLE *Google "/>
    <n v="2.15"/>
    <x v="0"/>
    <n v="-2.15"/>
    <x v="21"/>
    <x v="5"/>
    <x v="0"/>
  </r>
  <r>
    <x v="0"/>
    <x v="51"/>
    <s v="Microsoft*Micro"/>
    <n v="6.99"/>
    <x v="0"/>
    <n v="-6.99"/>
    <x v="21"/>
    <x v="5"/>
    <x v="0"/>
  </r>
  <r>
    <x v="0"/>
    <x v="54"/>
    <s v="Netflix"/>
    <n v="6.99"/>
    <x v="0"/>
    <n v="-6.99"/>
    <x v="21"/>
    <x v="5"/>
    <x v="0"/>
  </r>
  <r>
    <x v="0"/>
    <x v="57"/>
    <s v="APPLE.COM/BILL "/>
    <n v="0.99"/>
    <x v="0"/>
    <n v="-0.99"/>
    <x v="21"/>
    <x v="5"/>
    <x v="0"/>
  </r>
  <r>
    <x v="0"/>
    <x v="13"/>
    <s v="APPLE.COM/BILL "/>
    <n v="0.99"/>
    <x v="0"/>
    <n v="-0.99"/>
    <x v="21"/>
    <x v="5"/>
    <x v="0"/>
  </r>
  <r>
    <x v="0"/>
    <x v="70"/>
    <s v="APPLE.COM/BILL"/>
    <n v="2.99"/>
    <x v="0"/>
    <n v="-2.99"/>
    <x v="21"/>
    <x v="5"/>
    <x v="0"/>
  </r>
  <r>
    <x v="0"/>
    <x v="50"/>
    <s v="APPLE.COM/BILL"/>
    <n v="1.99"/>
    <x v="0"/>
    <n v="-1.99"/>
    <x v="21"/>
    <x v="5"/>
    <x v="0"/>
  </r>
  <r>
    <x v="0"/>
    <x v="34"/>
    <s v="NETFLIX, INC."/>
    <n v="6.99"/>
    <x v="0"/>
    <n v="-6.99"/>
    <x v="21"/>
    <x v="5"/>
    <x v="0"/>
  </r>
  <r>
    <x v="0"/>
    <x v="71"/>
    <s v="SEPHORA.COM"/>
    <n v="11.01"/>
    <x v="0"/>
    <n v="-11.01"/>
    <x v="22"/>
    <x v="5"/>
    <x v="0"/>
  </r>
  <r>
    <x v="0"/>
    <x v="72"/>
    <s v="REDDING GROCERY"/>
    <n v="16"/>
    <x v="0"/>
    <n v="-16"/>
    <x v="22"/>
    <x v="5"/>
    <x v="0"/>
  </r>
  <r>
    <x v="0"/>
    <x v="41"/>
    <s v="Lotion - Amazon"/>
    <n v="10"/>
    <x v="0"/>
    <n v="-10"/>
    <x v="22"/>
    <x v="5"/>
    <x v="0"/>
  </r>
  <r>
    <x v="0"/>
    <x v="30"/>
    <s v="WALGREENS #4243"/>
    <n v="18.489999999999998"/>
    <x v="0"/>
    <n v="-18.489999999999998"/>
    <x v="22"/>
    <x v="5"/>
    <x v="0"/>
  </r>
  <r>
    <x v="1"/>
    <x v="1"/>
    <s v="WINCO FOODS #5 "/>
    <n v="6.27"/>
    <x v="0"/>
    <n v="-6.27"/>
    <x v="22"/>
    <x v="5"/>
    <x v="0"/>
  </r>
  <r>
    <x v="0"/>
    <x v="1"/>
    <s v="ULTA #1238 REDD"/>
    <n v="14.48"/>
    <x v="0"/>
    <n v="-14.48"/>
    <x v="22"/>
    <x v="5"/>
    <x v="0"/>
  </r>
  <r>
    <x v="0"/>
    <x v="48"/>
    <s v="Eye Cream - KOH"/>
    <n v="13.93"/>
    <x v="0"/>
    <n v="-13.93"/>
    <x v="22"/>
    <x v="5"/>
    <x v="0"/>
  </r>
  <r>
    <x v="0"/>
    <x v="40"/>
    <s v="Toothbrush head"/>
    <n v="23.58"/>
    <x v="0"/>
    <n v="-23.58"/>
    <x v="22"/>
    <x v="5"/>
    <x v="0"/>
  </r>
  <r>
    <x v="0"/>
    <x v="3"/>
    <s v="Cotton swaps, b"/>
    <n v="37.979999999999997"/>
    <x v="0"/>
    <n v="-37.979999999999997"/>
    <x v="22"/>
    <x v="5"/>
    <x v="0"/>
  </r>
  <r>
    <x v="0"/>
    <x v="64"/>
    <s v=" Shampoo/Condit"/>
    <n v="21.83"/>
    <x v="0"/>
    <n v="-21.83"/>
    <x v="22"/>
    <x v="5"/>
    <x v="0"/>
  </r>
  <r>
    <x v="0"/>
    <x v="36"/>
    <s v="BILLIE"/>
    <n v="20.38"/>
    <x v="0"/>
    <n v="-20.38"/>
    <x v="22"/>
    <x v="5"/>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C3F1E41-5B2B-364A-AAE2-34488F3B122C}" name="Slicer" cacheId="17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A39:A46" firstHeaderRow="1" firstDataRow="1" firstDataCol="1"/>
  <pivotFields count="9">
    <pivotField showAll="0"/>
    <pivotField numFmtId="14" showAll="0"/>
    <pivotField showAll="0"/>
    <pivotField showAll="0"/>
    <pivotField showAll="0"/>
    <pivotField showAll="0"/>
    <pivotField showAll="0"/>
    <pivotField axis="axisRow" showAll="0">
      <items count="8">
        <item x="3"/>
        <item x="0"/>
        <item x="4"/>
        <item x="5"/>
        <item x="2"/>
        <item x="6"/>
        <item x="1"/>
        <item t="default"/>
      </items>
    </pivotField>
    <pivotField showAll="0"/>
  </pivotFields>
  <rowFields count="1">
    <field x="7"/>
  </rowFields>
  <rowItems count="7">
    <i>
      <x/>
    </i>
    <i>
      <x v="1"/>
    </i>
    <i>
      <x v="2"/>
    </i>
    <i>
      <x v="3"/>
    </i>
    <i>
      <x v="4"/>
    </i>
    <i>
      <x v="5"/>
    </i>
    <i>
      <x v="6"/>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5BAB994-A68B-CE4D-BFA8-21D8BE145714}" name="Top5" cacheId="17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3">
  <location ref="G27:H32" firstHeaderRow="1" firstDataRow="1" firstDataCol="1" rowPageCount="1" colPageCount="1"/>
  <pivotFields count="9">
    <pivotField showAll="0"/>
    <pivotField axis="axisPage" numFmtId="14" multipleItemSelectionAllowed="1" showAll="0">
      <items count="15">
        <item x="0"/>
        <item x="1"/>
        <item x="2"/>
        <item x="3"/>
        <item x="4"/>
        <item x="5"/>
        <item x="6"/>
        <item x="7"/>
        <item x="8"/>
        <item x="9"/>
        <item x="10"/>
        <item x="11"/>
        <item x="12"/>
        <item x="13"/>
        <item t="default"/>
      </items>
    </pivotField>
    <pivotField showAll="0"/>
    <pivotField dataField="1" showAll="0"/>
    <pivotField showAll="0"/>
    <pivotField showAll="0"/>
    <pivotField axis="axisRow" showAll="0" measureFilter="1" sortType="ascending">
      <items count="30">
        <item x="0"/>
        <item x="1"/>
        <item m="1" x="26"/>
        <item x="2"/>
        <item x="3"/>
        <item x="4"/>
        <item m="1" x="28"/>
        <item x="5"/>
        <item x="6"/>
        <item x="7"/>
        <item x="8"/>
        <item m="1" x="27"/>
        <item m="1" x="24"/>
        <item x="9"/>
        <item x="10"/>
        <item x="11"/>
        <item x="12"/>
        <item x="13"/>
        <item x="14"/>
        <item x="15"/>
        <item x="16"/>
        <item x="17"/>
        <item x="18"/>
        <item x="19"/>
        <item m="1" x="25"/>
        <item x="20"/>
        <item x="21"/>
        <item x="22"/>
        <item m="1" x="23"/>
        <item t="default"/>
      </items>
      <autoSortScope>
        <pivotArea dataOnly="0" outline="0" fieldPosition="0">
          <references count="1">
            <reference field="4294967294" count="1" selected="0">
              <x v="0"/>
            </reference>
          </references>
        </pivotArea>
      </autoSortScope>
    </pivotField>
    <pivotField showAll="0">
      <items count="8">
        <item x="3"/>
        <item x="0"/>
        <item x="4"/>
        <item x="5"/>
        <item x="2"/>
        <item x="6"/>
        <item x="1"/>
        <item t="default"/>
      </items>
    </pivotField>
    <pivotField showAll="0"/>
  </pivotFields>
  <rowFields count="1">
    <field x="6"/>
  </rowFields>
  <rowItems count="5">
    <i>
      <x/>
    </i>
    <i>
      <x v="13"/>
    </i>
    <i>
      <x v="7"/>
    </i>
    <i>
      <x v="15"/>
    </i>
    <i>
      <x v="22"/>
    </i>
  </rowItems>
  <colItems count="1">
    <i/>
  </colItems>
  <pageFields count="1">
    <pageField fld="1" hier="-1"/>
  </pageFields>
  <dataFields count="1">
    <dataField name="Sum of Debit" fld="3" baseField="0" baseItem="0" numFmtId="164"/>
  </dataFields>
  <formats count="1">
    <format dxfId="29">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6"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F7DAE9B-3F7C-EB41-B20A-9824740D6942}" name="PTDnut" cacheId="17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17:B20" firstHeaderRow="1" firstDataRow="1" firstDataCol="1" rowPageCount="1" colPageCount="1"/>
  <pivotFields count="9">
    <pivotField axis="axisRow" showAll="0">
      <items count="3">
        <item x="1"/>
        <item x="0"/>
        <item t="default"/>
      </items>
    </pivotField>
    <pivotField axis="axisPage" numFmtId="14" multipleItemSelectionAllowed="1" showAll="0">
      <items count="15">
        <item x="0"/>
        <item x="1"/>
        <item x="2"/>
        <item x="3"/>
        <item x="4"/>
        <item x="5"/>
        <item x="6"/>
        <item x="7"/>
        <item x="8"/>
        <item x="9"/>
        <item x="10"/>
        <item x="11"/>
        <item x="12"/>
        <item x="13"/>
        <item t="default"/>
      </items>
    </pivotField>
    <pivotField showAll="0"/>
    <pivotField dataField="1" showAll="0"/>
    <pivotField showAll="0"/>
    <pivotField showAll="0"/>
    <pivotField showAll="0"/>
    <pivotField showAll="0">
      <items count="8">
        <item x="3"/>
        <item x="0"/>
        <item x="4"/>
        <item x="5"/>
        <item x="2"/>
        <item x="6"/>
        <item x="1"/>
        <item t="default"/>
      </items>
    </pivotField>
    <pivotField showAll="0"/>
  </pivotFields>
  <rowFields count="1">
    <field x="0"/>
  </rowFields>
  <rowItems count="3">
    <i>
      <x/>
    </i>
    <i>
      <x v="1"/>
    </i>
    <i t="grand">
      <x/>
    </i>
  </rowItems>
  <colItems count="1">
    <i/>
  </colItems>
  <pageFields count="1">
    <pageField fld="1" hier="-1"/>
  </pageFields>
  <dataFields count="1">
    <dataField name="Sum of Debit" fld="3" baseField="0" baseItem="0" numFmtId="164"/>
  </dataFields>
  <formats count="1">
    <format dxfId="30">
      <pivotArea outline="0" collapsedLevelsAreSubtotals="1" fieldPosition="0"/>
    </format>
  </formats>
  <chartFormats count="3">
    <chartFormat chart="2" format="4" series="1">
      <pivotArea type="data" outline="0" fieldPosition="0">
        <references count="1">
          <reference field="4294967294" count="1" selected="0">
            <x v="0"/>
          </reference>
        </references>
      </pivotArea>
    </chartFormat>
    <chartFormat chart="2" format="5">
      <pivotArea type="data" outline="0" fieldPosition="0">
        <references count="2">
          <reference field="4294967294" count="1" selected="0">
            <x v="0"/>
          </reference>
          <reference field="0" count="1" selected="0">
            <x v="0"/>
          </reference>
        </references>
      </pivotArea>
    </chartFormat>
    <chartFormat chart="2" format="6">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4BF0532-25D2-154E-A440-5C703405E50A}" name="LineChart" cacheId="17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7">
  <location ref="J4:P8" firstHeaderRow="1" firstDataRow="2" firstDataCol="1" rowPageCount="1" colPageCount="1"/>
  <pivotFields count="9">
    <pivotField showAll="0"/>
    <pivotField axis="axisRow" numFmtId="14" showAll="0">
      <items count="15">
        <item x="0"/>
        <item x="1"/>
        <item x="2"/>
        <item x="3"/>
        <item x="4"/>
        <item x="5"/>
        <item x="6"/>
        <item x="7"/>
        <item x="8"/>
        <item x="9"/>
        <item x="10"/>
        <item x="11"/>
        <item x="12"/>
        <item x="13"/>
        <item t="default"/>
      </items>
    </pivotField>
    <pivotField showAll="0"/>
    <pivotField dataField="1" showAll="0"/>
    <pivotField showAll="0"/>
    <pivotField showAll="0"/>
    <pivotField showAll="0"/>
    <pivotField axis="axisCol" showAll="0" sortType="descending">
      <items count="8">
        <item x="3"/>
        <item x="0"/>
        <item x="4"/>
        <item x="5"/>
        <item x="2"/>
        <item h="1" x="6"/>
        <item x="1"/>
        <item t="default"/>
      </items>
      <autoSortScope>
        <pivotArea dataOnly="0" outline="0" fieldPosition="0">
          <references count="1">
            <reference field="4294967294" count="1" selected="0">
              <x v="0"/>
            </reference>
          </references>
        </pivotArea>
      </autoSortScope>
    </pivotField>
    <pivotField axis="axisPage" showAll="0">
      <items count="3">
        <item x="0"/>
        <item x="1"/>
        <item t="default"/>
      </items>
    </pivotField>
  </pivotFields>
  <rowFields count="1">
    <field x="1"/>
  </rowFields>
  <rowItems count="3">
    <i>
      <x v="7"/>
    </i>
    <i>
      <x v="8"/>
    </i>
    <i>
      <x v="9"/>
    </i>
  </rowItems>
  <colFields count="1">
    <field x="7"/>
  </colFields>
  <colItems count="6">
    <i>
      <x v="3"/>
    </i>
    <i>
      <x v="1"/>
    </i>
    <i>
      <x v="6"/>
    </i>
    <i>
      <x/>
    </i>
    <i>
      <x v="4"/>
    </i>
    <i>
      <x v="2"/>
    </i>
  </colItems>
  <pageFields count="1">
    <pageField fld="8" hier="-1"/>
  </pageFields>
  <dataFields count="1">
    <dataField name="Sum of Debit" fld="3" baseField="0" baseItem="0" numFmtId="164"/>
  </dataFields>
  <formats count="1">
    <format dxfId="31">
      <pivotArea outline="0" collapsedLevelsAreSubtotals="1" fieldPosition="0"/>
    </format>
  </formats>
  <chartFormats count="8">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1" count="1" selected="0">
            <x v="9"/>
          </reference>
        </references>
      </pivotArea>
    </chartFormat>
    <chartFormat chart="6" format="12" series="1">
      <pivotArea type="data" outline="0" fieldPosition="0">
        <references count="2">
          <reference field="4294967294" count="1" selected="0">
            <x v="0"/>
          </reference>
          <reference field="7" count="1" selected="0">
            <x v="3"/>
          </reference>
        </references>
      </pivotArea>
    </chartFormat>
    <chartFormat chart="6" format="13" series="1">
      <pivotArea type="data" outline="0" fieldPosition="0">
        <references count="2">
          <reference field="4294967294" count="1" selected="0">
            <x v="0"/>
          </reference>
          <reference field="7" count="1" selected="0">
            <x v="1"/>
          </reference>
        </references>
      </pivotArea>
    </chartFormat>
    <chartFormat chart="6" format="14" series="1">
      <pivotArea type="data" outline="0" fieldPosition="0">
        <references count="2">
          <reference field="4294967294" count="1" selected="0">
            <x v="0"/>
          </reference>
          <reference field="7" count="1" selected="0">
            <x v="6"/>
          </reference>
        </references>
      </pivotArea>
    </chartFormat>
    <chartFormat chart="6" format="15" series="1">
      <pivotArea type="data" outline="0" fieldPosition="0">
        <references count="2">
          <reference field="4294967294" count="1" selected="0">
            <x v="0"/>
          </reference>
          <reference field="7" count="1" selected="0">
            <x v="0"/>
          </reference>
        </references>
      </pivotArea>
    </chartFormat>
    <chartFormat chart="6" format="16" series="1">
      <pivotArea type="data" outline="0" fieldPosition="0">
        <references count="2">
          <reference field="4294967294" count="1" selected="0">
            <x v="0"/>
          </reference>
          <reference field="7" count="1" selected="0">
            <x v="4"/>
          </reference>
        </references>
      </pivotArea>
    </chartFormat>
    <chartFormat chart="6" format="17" series="1">
      <pivotArea type="data" outline="0" fieldPosition="0">
        <references count="2">
          <reference field="4294967294" count="1" selected="0">
            <x v="0"/>
          </reference>
          <reference field="7"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76F2C8E-6722-DA41-8D33-F8484F927783}" name="NetIncome" cacheId="170" applyNumberFormats="0" applyBorderFormats="0" applyFontFormats="0" applyPatternFormats="0" applyAlignmentFormats="0" applyWidthHeightFormats="1" dataCaption="Values" grandTotalCaption="Net" updatedVersion="8" minRefreshableVersion="3" useAutoFormatting="1" itemPrintTitles="1" createdVersion="8" indent="0" outline="1" outlineData="1" multipleFieldFilters="0" chartFormat="6">
  <location ref="G4:H8" firstHeaderRow="1" firstDataRow="1" firstDataCol="1" rowPageCount="1" colPageCount="1"/>
  <pivotFields count="9">
    <pivotField showAll="0"/>
    <pivotField axis="axisRow" numFmtId="14" showAll="0">
      <items count="15">
        <item x="0"/>
        <item x="1"/>
        <item x="2"/>
        <item x="3"/>
        <item x="4"/>
        <item x="5"/>
        <item x="6"/>
        <item x="7"/>
        <item x="8"/>
        <item x="9"/>
        <item x="10"/>
        <item x="11"/>
        <item x="12"/>
        <item x="13"/>
        <item t="default"/>
      </items>
    </pivotField>
    <pivotField showAll="0"/>
    <pivotField showAll="0"/>
    <pivotField axis="axisPage" dataField="1" showAll="0">
      <items count="8">
        <item x="0"/>
        <item m="1" x="6"/>
        <item x="1"/>
        <item x="4"/>
        <item x="3"/>
        <item x="2"/>
        <item x="5"/>
        <item t="default"/>
      </items>
    </pivotField>
    <pivotField showAll="0"/>
    <pivotField showAll="0"/>
    <pivotField showAll="0"/>
    <pivotField showAll="0"/>
  </pivotFields>
  <rowFields count="1">
    <field x="1"/>
  </rowFields>
  <rowItems count="4">
    <i>
      <x v="7"/>
    </i>
    <i>
      <x v="8"/>
    </i>
    <i>
      <x v="9"/>
    </i>
    <i t="grand">
      <x/>
    </i>
  </rowItems>
  <colItems count="1">
    <i/>
  </colItems>
  <pageFields count="1">
    <pageField fld="4" hier="-1"/>
  </pageFields>
  <dataFields count="1">
    <dataField name="Sum of Credit" fld="4" baseField="0" baseItem="0" numFmtId="164"/>
  </dataFields>
  <formats count="1">
    <format dxfId="32">
      <pivotArea outline="0" collapsedLevelsAreSubtotals="1" fieldPosition="0"/>
    </format>
  </formats>
  <chartFormats count="4">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1" count="1" selected="0">
            <x v="7"/>
          </reference>
        </references>
      </pivotArea>
    </chartFormat>
    <chartFormat chart="2" format="4">
      <pivotArea type="data" outline="0" fieldPosition="0">
        <references count="2">
          <reference field="4294967294" count="1" selected="0">
            <x v="0"/>
          </reference>
          <reference field="1" count="1" selected="0">
            <x v="8"/>
          </reference>
        </references>
      </pivotArea>
    </chartFormat>
    <chartFormat chart="2" format="5">
      <pivotArea type="data" outline="0" fieldPosition="0">
        <references count="2">
          <reference field="4294967294" count="1" selected="0">
            <x v="0"/>
          </reference>
          <reference field="1"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858DF8B-8038-FB49-BFCF-9AC101C7C0B7}" name="WaterFall" cacheId="170" applyNumberFormats="0" applyBorderFormats="0" applyFontFormats="0" applyPatternFormats="0" applyAlignmentFormats="0" applyWidthHeightFormats="1" dataCaption="Values" grandTotalCaption="Net" updatedVersion="8" minRefreshableVersion="3" useAutoFormatting="1" itemPrintTitles="1" createdVersion="8" indent="0" outline="1" outlineData="1" multipleFieldFilters="0">
  <location ref="A28:B36" firstHeaderRow="1" firstDataRow="1" firstDataCol="1" rowPageCount="1" colPageCount="1"/>
  <pivotFields count="9">
    <pivotField showAll="0"/>
    <pivotField axis="axisPage" numFmtId="14" multipleItemSelectionAllowed="1" showAll="0">
      <items count="15">
        <item x="0"/>
        <item x="1"/>
        <item x="2"/>
        <item x="3"/>
        <item x="4"/>
        <item x="5"/>
        <item x="6"/>
        <item x="7"/>
        <item x="8"/>
        <item x="9"/>
        <item x="10"/>
        <item x="11"/>
        <item x="12"/>
        <item x="13"/>
        <item t="default"/>
      </items>
    </pivotField>
    <pivotField showAll="0"/>
    <pivotField showAll="0"/>
    <pivotField showAll="0"/>
    <pivotField dataField="1" showAll="0"/>
    <pivotField showAll="0"/>
    <pivotField axis="axisRow" showAll="0">
      <items count="8">
        <item x="6"/>
        <item x="3"/>
        <item x="0"/>
        <item x="4"/>
        <item x="5"/>
        <item x="2"/>
        <item x="1"/>
        <item t="default"/>
      </items>
    </pivotField>
    <pivotField showAll="0"/>
  </pivotFields>
  <rowFields count="1">
    <field x="7"/>
  </rowFields>
  <rowItems count="8">
    <i>
      <x/>
    </i>
    <i>
      <x v="1"/>
    </i>
    <i>
      <x v="2"/>
    </i>
    <i>
      <x v="3"/>
    </i>
    <i>
      <x v="4"/>
    </i>
    <i>
      <x v="5"/>
    </i>
    <i>
      <x v="6"/>
    </i>
    <i t="grand">
      <x/>
    </i>
  </rowItems>
  <colItems count="1">
    <i/>
  </colItems>
  <pageFields count="1">
    <pageField fld="1" hier="-1"/>
  </pageFields>
  <dataFields count="1">
    <dataField name="Sum of Amount" fld="5" baseField="0" baseItem="0" numFmtId="164"/>
  </dataFields>
  <formats count="1">
    <format dxfId="3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982E1E7-6FBF-ED4F-B350-8603F75F2313}" name="NetExpenses" cacheId="17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D4:E8" firstHeaderRow="1" firstDataRow="1" firstDataCol="1" rowPageCount="1" colPageCount="1"/>
  <pivotFields count="9">
    <pivotField showAll="0"/>
    <pivotField axis="axisRow" numFmtId="14" showAll="0">
      <items count="15">
        <item x="0"/>
        <item x="1"/>
        <item x="2"/>
        <item x="3"/>
        <item x="4"/>
        <item x="5"/>
        <item x="6"/>
        <item x="7"/>
        <item x="8"/>
        <item x="9"/>
        <item x="10"/>
        <item x="11"/>
        <item x="12"/>
        <item x="13"/>
        <item t="default"/>
      </items>
    </pivotField>
    <pivotField showAll="0"/>
    <pivotField dataField="1" showAll="0"/>
    <pivotField showAll="0"/>
    <pivotField showAll="0"/>
    <pivotField showAll="0"/>
    <pivotField showAll="0">
      <items count="8">
        <item x="3"/>
        <item x="0"/>
        <item x="4"/>
        <item x="5"/>
        <item x="2"/>
        <item x="6"/>
        <item x="1"/>
        <item t="default"/>
      </items>
    </pivotField>
    <pivotField axis="axisPage" showAll="0">
      <items count="3">
        <item x="0"/>
        <item x="1"/>
        <item t="default"/>
      </items>
    </pivotField>
  </pivotFields>
  <rowFields count="1">
    <field x="1"/>
  </rowFields>
  <rowItems count="4">
    <i>
      <x v="7"/>
    </i>
    <i>
      <x v="8"/>
    </i>
    <i>
      <x v="9"/>
    </i>
    <i t="grand">
      <x/>
    </i>
  </rowItems>
  <colItems count="1">
    <i/>
  </colItems>
  <pageFields count="1">
    <pageField fld="8" hier="-1"/>
  </pageFields>
  <dataFields count="1">
    <dataField name="Sum of Debit" fld="3" baseField="0" baseItem="0" numFmtId="164"/>
  </dataFields>
  <formats count="1">
    <format dxfId="34">
      <pivotArea outline="0" collapsedLevelsAreSubtotals="1" fieldPosition="0"/>
    </format>
  </formats>
  <chartFormats count="2">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1"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D4BDF3C-1DC3-1C41-AD06-67D397251162}" name="BannerKPIs" cacheId="17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B9" firstHeaderRow="1" firstDataRow="1" firstDataCol="1"/>
  <pivotFields count="9">
    <pivotField showAll="0"/>
    <pivotField numFmtId="14" showAll="0"/>
    <pivotField showAll="0"/>
    <pivotField dataField="1" showAll="0"/>
    <pivotField showAll="0"/>
    <pivotField showAll="0"/>
    <pivotField showAll="0"/>
    <pivotField axis="axisRow" showAll="0" sortType="descending">
      <items count="8">
        <item x="0"/>
        <item x="4"/>
        <item x="5"/>
        <item x="2"/>
        <item h="1" x="6"/>
        <item x="1"/>
        <item x="3"/>
        <item t="default"/>
      </items>
      <autoSortScope>
        <pivotArea dataOnly="0" outline="0" fieldPosition="0">
          <references count="1">
            <reference field="4294967294" count="1" selected="0">
              <x v="0"/>
            </reference>
          </references>
        </pivotArea>
      </autoSortScope>
    </pivotField>
    <pivotField showAll="0"/>
  </pivotFields>
  <rowFields count="1">
    <field x="7"/>
  </rowFields>
  <rowItems count="7">
    <i>
      <x v="2"/>
    </i>
    <i>
      <x/>
    </i>
    <i>
      <x v="5"/>
    </i>
    <i>
      <x v="6"/>
    </i>
    <i>
      <x v="3"/>
    </i>
    <i>
      <x v="1"/>
    </i>
    <i t="grand">
      <x/>
    </i>
  </rowItems>
  <colItems count="1">
    <i/>
  </colItems>
  <dataFields count="1">
    <dataField name="Sum of Debit" fld="3" baseField="0" baseItem="0" numFmtId="164"/>
  </dataFields>
  <formats count="1">
    <format dxfId="3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D504A872-8CEA-364C-B79E-AF704CE1B4DF}" sourceName="Date">
  <pivotTables>
    <pivotTable tabId="7" name="WaterFall"/>
    <pivotTable tabId="7" name="Top5"/>
    <pivotTable tabId="7" name="PTDnut"/>
  </pivotTables>
  <data>
    <tabular pivotCacheId="920270490">
      <items count="14">
        <i x="7" s="1"/>
        <i x="8" s="1"/>
        <i x="9" s="1"/>
        <i x="1" s="1" nd="1"/>
        <i x="2" s="1" nd="1"/>
        <i x="3" s="1" nd="1"/>
        <i x="4" s="1" nd="1"/>
        <i x="5" s="1" nd="1"/>
        <i x="6" s="1" nd="1"/>
        <i x="10" s="1" nd="1"/>
        <i x="11" s="1" nd="1"/>
        <i x="12" s="1" nd="1"/>
        <i x="0" s="1" nd="1"/>
        <i x="1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8C683477-E56A-F04F-BDAA-DD868067BA6B}" sourceName="Category">
  <pivotTables>
    <pivotTable tabId="7" name="NetExpenses"/>
    <pivotTable tabId="7" name="Slicer"/>
    <pivotTable tabId="7" name="PTDnut"/>
    <pivotTable tabId="7" name="Top5"/>
  </pivotTables>
  <data>
    <tabular pivotCacheId="920270490">
      <items count="7">
        <i x="3" s="1"/>
        <i x="0" s="1"/>
        <i x="4" s="1"/>
        <i x="5" s="1"/>
        <i x="2" s="1"/>
        <i x="6" s="1"/>
        <i x="1"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1" xr10:uid="{55F56E0F-DDD3-6546-B8D0-FDD0393511CD}" cache="Slicer_Date" caption="Month" style="Simple" rowHeight="457200"/>
  <slicer name="Category 1" xr10:uid="{56A9F7E7-0970-4B43-A43B-D77F9708F7B9}" cache="Slicer_Category" caption="Category" style="Simple" rowHeight="4572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Times New Roman-Arial">
      <a:majorFont>
        <a:latin typeface="Times New Roman" panose="02020603050405020304"/>
        <a:ea typeface=""/>
        <a:cs typeface=""/>
        <a:font script="Jpan" typeface="ＭＳ Ｐ明朝"/>
        <a:font script="Hang" typeface="바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Arial" panose="020B0604020202020204"/>
        <a:ea typeface=""/>
        <a:cs typeface=""/>
        <a:font script="Jpan" typeface="ＭＳ Ｐゴシック"/>
        <a:font script="Hang" typeface="돋움"/>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39AF97-BB5D-AE4D-8C82-425C59E8DC9A}">
  <dimension ref="B1:H60"/>
  <sheetViews>
    <sheetView workbookViewId="0">
      <selection activeCell="C43" sqref="C43"/>
    </sheetView>
  </sheetViews>
  <sheetFormatPr baseColWidth="10" defaultRowHeight="16" x14ac:dyDescent="0.2"/>
  <cols>
    <col min="2" max="2" width="52.140625" customWidth="1"/>
    <col min="3" max="3" width="22.28515625" customWidth="1"/>
    <col min="8" max="8" width="37.28515625" style="2" customWidth="1"/>
  </cols>
  <sheetData>
    <row r="1" spans="2:8" x14ac:dyDescent="0.2">
      <c r="B1" t="s">
        <v>21</v>
      </c>
      <c r="C1" t="s">
        <v>3</v>
      </c>
      <c r="D1" t="s">
        <v>22</v>
      </c>
    </row>
    <row r="2" spans="2:8" x14ac:dyDescent="0.2">
      <c r="B2" s="2" t="s">
        <v>15</v>
      </c>
      <c r="C2" t="s">
        <v>23</v>
      </c>
      <c r="D2" t="s">
        <v>34</v>
      </c>
      <c r="H2" s="3"/>
    </row>
    <row r="3" spans="2:8" x14ac:dyDescent="0.2">
      <c r="B3" s="2" t="s">
        <v>48</v>
      </c>
      <c r="C3" t="s">
        <v>31</v>
      </c>
      <c r="D3" t="s">
        <v>34</v>
      </c>
    </row>
    <row r="4" spans="2:8" x14ac:dyDescent="0.2">
      <c r="B4" s="2" t="s">
        <v>9</v>
      </c>
      <c r="C4" t="s">
        <v>31</v>
      </c>
      <c r="D4" t="s">
        <v>34</v>
      </c>
    </row>
    <row r="5" spans="2:8" x14ac:dyDescent="0.2">
      <c r="B5" s="2" t="s">
        <v>7</v>
      </c>
      <c r="C5" t="s">
        <v>23</v>
      </c>
      <c r="D5" t="s">
        <v>34</v>
      </c>
      <c r="H5" s="3"/>
    </row>
    <row r="6" spans="2:8" x14ac:dyDescent="0.2">
      <c r="B6" t="s">
        <v>49</v>
      </c>
      <c r="C6" t="s">
        <v>24</v>
      </c>
      <c r="D6" t="s">
        <v>34</v>
      </c>
    </row>
    <row r="7" spans="2:8" x14ac:dyDescent="0.2">
      <c r="B7" s="2" t="s">
        <v>13</v>
      </c>
      <c r="C7" t="s">
        <v>13</v>
      </c>
      <c r="D7" t="s">
        <v>34</v>
      </c>
    </row>
    <row r="8" spans="2:8" x14ac:dyDescent="0.2">
      <c r="B8" s="2" t="s">
        <v>26</v>
      </c>
      <c r="C8" t="s">
        <v>26</v>
      </c>
      <c r="D8" t="s">
        <v>34</v>
      </c>
    </row>
    <row r="9" spans="2:8" x14ac:dyDescent="0.2">
      <c r="B9" t="s">
        <v>30</v>
      </c>
      <c r="C9" t="s">
        <v>28</v>
      </c>
      <c r="D9" t="s">
        <v>34</v>
      </c>
    </row>
    <row r="10" spans="2:8" x14ac:dyDescent="0.2">
      <c r="B10" s="2" t="s">
        <v>47</v>
      </c>
      <c r="C10" t="s">
        <v>23</v>
      </c>
      <c r="D10" t="s">
        <v>34</v>
      </c>
    </row>
    <row r="11" spans="2:8" x14ac:dyDescent="0.2">
      <c r="B11" s="2" t="s">
        <v>5</v>
      </c>
      <c r="C11" t="s">
        <v>23</v>
      </c>
      <c r="D11" t="s">
        <v>34</v>
      </c>
    </row>
    <row r="12" spans="2:8" x14ac:dyDescent="0.2">
      <c r="B12" s="2" t="s">
        <v>10</v>
      </c>
      <c r="C12" t="s">
        <v>31</v>
      </c>
      <c r="D12" t="s">
        <v>34</v>
      </c>
    </row>
    <row r="13" spans="2:8" x14ac:dyDescent="0.2">
      <c r="B13" s="2" t="s">
        <v>16</v>
      </c>
      <c r="C13" t="s">
        <v>23</v>
      </c>
      <c r="D13" t="s">
        <v>34</v>
      </c>
    </row>
    <row r="14" spans="2:8" x14ac:dyDescent="0.2">
      <c r="B14" t="s">
        <v>35</v>
      </c>
      <c r="C14" t="s">
        <v>28</v>
      </c>
      <c r="D14" t="s">
        <v>34</v>
      </c>
    </row>
    <row r="15" spans="2:8" x14ac:dyDescent="0.2">
      <c r="B15" s="2" t="s">
        <v>14</v>
      </c>
      <c r="C15" t="s">
        <v>23</v>
      </c>
      <c r="D15" t="s">
        <v>34</v>
      </c>
    </row>
    <row r="16" spans="2:8" x14ac:dyDescent="0.2">
      <c r="B16" s="2" t="s">
        <v>32</v>
      </c>
      <c r="C16" t="s">
        <v>28</v>
      </c>
      <c r="D16" t="s">
        <v>34</v>
      </c>
    </row>
    <row r="17" spans="2:8" x14ac:dyDescent="0.2">
      <c r="B17" s="2" t="s">
        <v>12</v>
      </c>
      <c r="C17" t="s">
        <v>28</v>
      </c>
      <c r="D17" t="s">
        <v>34</v>
      </c>
    </row>
    <row r="18" spans="2:8" x14ac:dyDescent="0.2">
      <c r="B18" t="s">
        <v>29</v>
      </c>
      <c r="C18" t="s">
        <v>24</v>
      </c>
      <c r="D18" t="s">
        <v>34</v>
      </c>
    </row>
    <row r="19" spans="2:8" x14ac:dyDescent="0.2">
      <c r="B19" s="2" t="s">
        <v>8</v>
      </c>
      <c r="C19" t="s">
        <v>31</v>
      </c>
      <c r="D19" t="s">
        <v>34</v>
      </c>
    </row>
    <row r="20" spans="2:8" x14ac:dyDescent="0.2">
      <c r="B20" s="2" t="s">
        <v>11</v>
      </c>
      <c r="C20" t="s">
        <v>28</v>
      </c>
      <c r="D20" t="s">
        <v>34</v>
      </c>
      <c r="H20" s="5"/>
    </row>
    <row r="21" spans="2:8" x14ac:dyDescent="0.2">
      <c r="B21" t="s">
        <v>27</v>
      </c>
      <c r="C21" t="s">
        <v>28</v>
      </c>
      <c r="D21" t="s">
        <v>34</v>
      </c>
      <c r="H21" s="10"/>
    </row>
    <row r="22" spans="2:8" x14ac:dyDescent="0.2">
      <c r="B22" t="s">
        <v>50</v>
      </c>
      <c r="C22" t="s">
        <v>28</v>
      </c>
      <c r="D22" t="s">
        <v>34</v>
      </c>
    </row>
    <row r="23" spans="2:8" x14ac:dyDescent="0.2">
      <c r="B23" t="s">
        <v>25</v>
      </c>
      <c r="C23" t="s">
        <v>25</v>
      </c>
      <c r="D23" t="s">
        <v>17</v>
      </c>
      <c r="H23" s="4"/>
    </row>
    <row r="24" spans="2:8" x14ac:dyDescent="0.2">
      <c r="B24" s="2" t="s">
        <v>33</v>
      </c>
      <c r="C24" t="s">
        <v>28</v>
      </c>
      <c r="D24" t="s">
        <v>34</v>
      </c>
      <c r="H24" s="4"/>
    </row>
    <row r="25" spans="2:8" x14ac:dyDescent="0.2">
      <c r="B25" s="2" t="s">
        <v>6</v>
      </c>
      <c r="C25" t="s">
        <v>23</v>
      </c>
      <c r="D25" t="s">
        <v>34</v>
      </c>
      <c r="H25" s="4"/>
    </row>
    <row r="26" spans="2:8" x14ac:dyDescent="0.2">
      <c r="B26" t="s">
        <v>36</v>
      </c>
      <c r="C26" t="s">
        <v>28</v>
      </c>
      <c r="D26" t="s">
        <v>34</v>
      </c>
      <c r="H26" s="4"/>
    </row>
    <row r="27" spans="2:8" x14ac:dyDescent="0.2">
      <c r="B27" s="2"/>
    </row>
    <row r="28" spans="2:8" x14ac:dyDescent="0.2">
      <c r="H28" s="4"/>
    </row>
    <row r="29" spans="2:8" x14ac:dyDescent="0.2">
      <c r="H29" s="4"/>
    </row>
    <row r="30" spans="2:8" x14ac:dyDescent="0.2">
      <c r="H30" s="4"/>
    </row>
    <row r="31" spans="2:8" x14ac:dyDescent="0.2">
      <c r="H31" s="4"/>
    </row>
    <row r="32" spans="2:8" x14ac:dyDescent="0.2">
      <c r="H32" s="9"/>
    </row>
    <row r="41" spans="8:8" x14ac:dyDescent="0.2">
      <c r="H41" s="3"/>
    </row>
    <row r="48" spans="8:8" x14ac:dyDescent="0.2">
      <c r="H48" s="7"/>
    </row>
    <row r="50" spans="8:8" x14ac:dyDescent="0.2">
      <c r="H50" s="8"/>
    </row>
    <row r="60" spans="8:8" x14ac:dyDescent="0.2">
      <c r="H60" s="6"/>
    </row>
  </sheetData>
  <autoFilter ref="B1:D1" xr:uid="{C539AF97-BB5D-AE4D-8C82-425C59E8DC9A}">
    <sortState xmlns:xlrd2="http://schemas.microsoft.com/office/spreadsheetml/2017/richdata2" ref="B2:D26">
      <sortCondition ref="B1:B26"/>
    </sortState>
  </autoFilter>
  <dataValidations count="1">
    <dataValidation type="list" allowBlank="1" showInputMessage="1" showErrorMessage="1" sqref="B1:B26" xr:uid="{0EDFB296-CAC9-274B-96F1-F5580E546D58}">
      <formula1>$B$1:$B$26</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FCD41-85AF-6C42-846E-56F9D6402BB3}">
  <dimension ref="A1:I251"/>
  <sheetViews>
    <sheetView workbookViewId="0">
      <selection activeCell="F3" sqref="F3"/>
    </sheetView>
  </sheetViews>
  <sheetFormatPr baseColWidth="10" defaultRowHeight="16" x14ac:dyDescent="0.2"/>
  <cols>
    <col min="1" max="1" width="15.5703125" customWidth="1"/>
    <col min="2" max="2" width="7.7109375" customWidth="1"/>
    <col min="3" max="3" width="18.42578125" customWidth="1"/>
    <col min="4" max="4" width="8" customWidth="1"/>
    <col min="5" max="5" width="8.42578125" customWidth="1"/>
    <col min="6" max="6" width="10" customWidth="1"/>
    <col min="7" max="7" width="56" customWidth="1"/>
    <col min="8" max="8" width="13.7109375" customWidth="1"/>
    <col min="9" max="9" width="15" customWidth="1"/>
  </cols>
  <sheetData>
    <row r="1" spans="1:9" x14ac:dyDescent="0.2">
      <c r="A1" t="s">
        <v>4</v>
      </c>
      <c r="B1" t="s">
        <v>0</v>
      </c>
      <c r="C1" t="s">
        <v>1</v>
      </c>
      <c r="D1" t="s">
        <v>18</v>
      </c>
      <c r="E1" t="s">
        <v>19</v>
      </c>
      <c r="F1" t="s">
        <v>2</v>
      </c>
      <c r="G1" t="s">
        <v>21</v>
      </c>
      <c r="H1" t="s">
        <v>3</v>
      </c>
      <c r="I1" t="s">
        <v>22</v>
      </c>
    </row>
    <row r="2" spans="1:9" x14ac:dyDescent="0.2">
      <c r="A2" t="s">
        <v>19</v>
      </c>
      <c r="B2" s="1">
        <v>45178</v>
      </c>
      <c r="C2" t="s">
        <v>81</v>
      </c>
      <c r="D2" s="14">
        <v>149</v>
      </c>
      <c r="E2" s="21">
        <v>0</v>
      </c>
      <c r="F2" s="14">
        <f t="shared" ref="F2:F65" si="0">E2-D2</f>
        <v>-149</v>
      </c>
      <c r="G2" t="s">
        <v>15</v>
      </c>
      <c r="H2" t="str" cm="1">
        <f t="array" ref="H2:I2">_xlfn.XLOOKUP(G2,'Data Validation'!B2:B26,'Data Validation'!C2:D26)</f>
        <v>Discretionary</v>
      </c>
      <c r="I2" t="str">
        <v>Expense</v>
      </c>
    </row>
    <row r="3" spans="1:9" x14ac:dyDescent="0.2">
      <c r="A3" t="s">
        <v>19</v>
      </c>
      <c r="B3" s="1">
        <v>45131</v>
      </c>
      <c r="C3" t="s">
        <v>102</v>
      </c>
      <c r="D3" s="14">
        <v>7.85</v>
      </c>
      <c r="E3" s="21">
        <v>0</v>
      </c>
      <c r="F3" s="14">
        <f t="shared" si="0"/>
        <v>-7.85</v>
      </c>
      <c r="G3" t="s">
        <v>15</v>
      </c>
      <c r="H3" t="s">
        <v>23</v>
      </c>
      <c r="I3" t="s">
        <v>34</v>
      </c>
    </row>
    <row r="4" spans="1:9" x14ac:dyDescent="0.2">
      <c r="A4" t="s">
        <v>19</v>
      </c>
      <c r="B4" s="1">
        <v>45138</v>
      </c>
      <c r="C4" t="s">
        <v>102</v>
      </c>
      <c r="D4" s="14">
        <v>9.3800000000000008</v>
      </c>
      <c r="E4" s="21">
        <v>0</v>
      </c>
      <c r="F4" s="14">
        <f t="shared" si="0"/>
        <v>-9.3800000000000008</v>
      </c>
      <c r="G4" t="s">
        <v>15</v>
      </c>
      <c r="H4" t="s">
        <v>23</v>
      </c>
      <c r="I4" t="s">
        <v>34</v>
      </c>
    </row>
    <row r="5" spans="1:9" x14ac:dyDescent="0.2">
      <c r="A5" t="s">
        <v>19</v>
      </c>
      <c r="B5" s="1">
        <v>45138</v>
      </c>
      <c r="C5" t="s">
        <v>102</v>
      </c>
      <c r="D5" s="14">
        <v>9.3800000000000008</v>
      </c>
      <c r="E5" s="21">
        <v>0</v>
      </c>
      <c r="F5" s="14">
        <f t="shared" si="0"/>
        <v>-9.3800000000000008</v>
      </c>
      <c r="G5" t="s">
        <v>15</v>
      </c>
      <c r="H5" t="s">
        <v>23</v>
      </c>
      <c r="I5" t="s">
        <v>34</v>
      </c>
    </row>
    <row r="6" spans="1:9" x14ac:dyDescent="0.2">
      <c r="A6" t="s">
        <v>19</v>
      </c>
      <c r="B6" s="1">
        <v>45159</v>
      </c>
      <c r="C6" t="s">
        <v>103</v>
      </c>
      <c r="D6" s="14">
        <v>2</v>
      </c>
      <c r="E6" s="21">
        <v>0</v>
      </c>
      <c r="F6" s="14">
        <f t="shared" si="0"/>
        <v>-2</v>
      </c>
      <c r="G6" t="s">
        <v>15</v>
      </c>
      <c r="H6" t="s">
        <v>23</v>
      </c>
      <c r="I6" t="s">
        <v>34</v>
      </c>
    </row>
    <row r="7" spans="1:9" x14ac:dyDescent="0.2">
      <c r="A7" t="s">
        <v>19</v>
      </c>
      <c r="B7" s="1">
        <v>45114</v>
      </c>
      <c r="C7" t="s">
        <v>104</v>
      </c>
      <c r="D7" s="14">
        <v>2</v>
      </c>
      <c r="E7" s="21">
        <v>0</v>
      </c>
      <c r="F7" s="14">
        <f t="shared" si="0"/>
        <v>-2</v>
      </c>
      <c r="G7" t="s">
        <v>15</v>
      </c>
      <c r="H7" t="s">
        <v>23</v>
      </c>
      <c r="I7" t="s">
        <v>34</v>
      </c>
    </row>
    <row r="8" spans="1:9" x14ac:dyDescent="0.2">
      <c r="A8" t="s">
        <v>19</v>
      </c>
      <c r="B8" s="1">
        <v>45112</v>
      </c>
      <c r="C8" t="s">
        <v>81</v>
      </c>
      <c r="D8" s="14">
        <v>240</v>
      </c>
      <c r="E8" s="21">
        <v>0</v>
      </c>
      <c r="F8" s="14">
        <f t="shared" si="0"/>
        <v>-240</v>
      </c>
      <c r="G8" t="s">
        <v>15</v>
      </c>
      <c r="H8" t="s">
        <v>23</v>
      </c>
      <c r="I8" t="s">
        <v>34</v>
      </c>
    </row>
    <row r="9" spans="1:9" x14ac:dyDescent="0.2">
      <c r="A9" t="s">
        <v>19</v>
      </c>
      <c r="B9" s="1">
        <v>45150</v>
      </c>
      <c r="C9" t="s">
        <v>81</v>
      </c>
      <c r="D9" s="14">
        <v>149</v>
      </c>
      <c r="E9" s="21">
        <v>0</v>
      </c>
      <c r="F9" s="14">
        <f t="shared" si="0"/>
        <v>-149</v>
      </c>
      <c r="G9" t="s">
        <v>15</v>
      </c>
      <c r="H9" t="s">
        <v>23</v>
      </c>
      <c r="I9" t="s">
        <v>34</v>
      </c>
    </row>
    <row r="10" spans="1:9" x14ac:dyDescent="0.2">
      <c r="A10" t="s">
        <v>19</v>
      </c>
      <c r="B10" s="1">
        <v>45156</v>
      </c>
      <c r="C10" t="s">
        <v>100</v>
      </c>
      <c r="D10" s="14">
        <v>32.15</v>
      </c>
      <c r="E10" s="21">
        <v>0</v>
      </c>
      <c r="F10" s="14">
        <f t="shared" si="0"/>
        <v>-32.15</v>
      </c>
      <c r="G10" t="s">
        <v>48</v>
      </c>
      <c r="H10" t="s">
        <v>31</v>
      </c>
      <c r="I10" t="s">
        <v>34</v>
      </c>
    </row>
    <row r="11" spans="1:9" x14ac:dyDescent="0.2">
      <c r="A11" t="s">
        <v>19</v>
      </c>
      <c r="B11" s="1">
        <v>45110</v>
      </c>
      <c r="C11" t="s">
        <v>171</v>
      </c>
      <c r="D11" s="14">
        <v>19.29</v>
      </c>
      <c r="E11" s="21">
        <v>0</v>
      </c>
      <c r="F11" s="14">
        <f t="shared" si="0"/>
        <v>-19.29</v>
      </c>
      <c r="G11" t="s">
        <v>48</v>
      </c>
      <c r="H11" t="s">
        <v>31</v>
      </c>
      <c r="I11" t="s">
        <v>34</v>
      </c>
    </row>
    <row r="12" spans="1:9" x14ac:dyDescent="0.2">
      <c r="A12" t="s">
        <v>19</v>
      </c>
      <c r="B12" s="1">
        <v>45121</v>
      </c>
      <c r="C12" t="s">
        <v>172</v>
      </c>
      <c r="D12" s="14">
        <v>81.93</v>
      </c>
      <c r="E12" s="21">
        <v>0</v>
      </c>
      <c r="F12" s="14">
        <f t="shared" si="0"/>
        <v>-81.93</v>
      </c>
      <c r="G12" t="s">
        <v>48</v>
      </c>
      <c r="H12" t="s">
        <v>31</v>
      </c>
      <c r="I12" t="s">
        <v>34</v>
      </c>
    </row>
    <row r="13" spans="1:9" x14ac:dyDescent="0.2">
      <c r="A13" t="s">
        <v>20</v>
      </c>
      <c r="B13" s="1">
        <v>45135</v>
      </c>
      <c r="C13" t="s">
        <v>131</v>
      </c>
      <c r="D13" s="14">
        <v>111.05</v>
      </c>
      <c r="E13" s="21">
        <v>0</v>
      </c>
      <c r="F13" s="14">
        <f t="shared" si="0"/>
        <v>-111.05</v>
      </c>
      <c r="G13" t="s">
        <v>48</v>
      </c>
      <c r="H13" t="s">
        <v>31</v>
      </c>
      <c r="I13" t="s">
        <v>34</v>
      </c>
    </row>
    <row r="14" spans="1:9" x14ac:dyDescent="0.2">
      <c r="A14" t="s">
        <v>19</v>
      </c>
      <c r="B14" s="1">
        <v>45138</v>
      </c>
      <c r="C14" t="s">
        <v>173</v>
      </c>
      <c r="D14" s="14">
        <v>12</v>
      </c>
      <c r="E14" s="21">
        <v>0</v>
      </c>
      <c r="F14" s="14">
        <f t="shared" si="0"/>
        <v>-12</v>
      </c>
      <c r="G14" t="s">
        <v>48</v>
      </c>
      <c r="H14" t="s">
        <v>31</v>
      </c>
      <c r="I14" t="s">
        <v>34</v>
      </c>
    </row>
    <row r="15" spans="1:9" x14ac:dyDescent="0.2">
      <c r="A15" t="s">
        <v>19</v>
      </c>
      <c r="B15" s="1">
        <v>45175</v>
      </c>
      <c r="C15" t="s">
        <v>60</v>
      </c>
      <c r="D15" s="14">
        <v>14</v>
      </c>
      <c r="E15" s="21">
        <v>0</v>
      </c>
      <c r="F15" s="14">
        <f t="shared" si="0"/>
        <v>-14</v>
      </c>
      <c r="G15" t="s">
        <v>9</v>
      </c>
      <c r="H15" t="s">
        <v>31</v>
      </c>
      <c r="I15" t="s">
        <v>34</v>
      </c>
    </row>
    <row r="16" spans="1:9" x14ac:dyDescent="0.2">
      <c r="A16" t="s">
        <v>19</v>
      </c>
      <c r="B16" s="1">
        <v>45115</v>
      </c>
      <c r="C16" t="s">
        <v>60</v>
      </c>
      <c r="D16" s="14">
        <v>12</v>
      </c>
      <c r="E16" s="21">
        <v>0</v>
      </c>
      <c r="F16" s="14">
        <f t="shared" si="0"/>
        <v>-12</v>
      </c>
      <c r="G16" t="s">
        <v>9</v>
      </c>
      <c r="H16" t="s">
        <v>31</v>
      </c>
      <c r="I16" t="s">
        <v>34</v>
      </c>
    </row>
    <row r="17" spans="1:9" x14ac:dyDescent="0.2">
      <c r="A17" t="s">
        <v>19</v>
      </c>
      <c r="B17" s="1">
        <v>45155</v>
      </c>
      <c r="C17" t="s">
        <v>100</v>
      </c>
      <c r="D17" s="14">
        <v>14</v>
      </c>
      <c r="E17" s="21">
        <v>0</v>
      </c>
      <c r="F17" s="14">
        <f t="shared" si="0"/>
        <v>-14</v>
      </c>
      <c r="G17" t="s">
        <v>9</v>
      </c>
      <c r="H17" t="s">
        <v>31</v>
      </c>
      <c r="I17" t="s">
        <v>34</v>
      </c>
    </row>
    <row r="18" spans="1:9" x14ac:dyDescent="0.2">
      <c r="A18" t="s">
        <v>19</v>
      </c>
      <c r="B18" s="1">
        <v>45180</v>
      </c>
      <c r="C18" t="s">
        <v>84</v>
      </c>
      <c r="D18" s="14">
        <v>13</v>
      </c>
      <c r="E18" s="21">
        <v>0</v>
      </c>
      <c r="F18" s="14">
        <f t="shared" si="0"/>
        <v>-13</v>
      </c>
      <c r="G18" t="s">
        <v>7</v>
      </c>
      <c r="H18" t="s">
        <v>23</v>
      </c>
      <c r="I18" t="s">
        <v>34</v>
      </c>
    </row>
    <row r="19" spans="1:9" x14ac:dyDescent="0.2">
      <c r="A19" t="s">
        <v>19</v>
      </c>
      <c r="B19" s="1">
        <v>45180</v>
      </c>
      <c r="C19" t="s">
        <v>84</v>
      </c>
      <c r="D19" s="14">
        <v>18.559999999999999</v>
      </c>
      <c r="E19" s="21">
        <v>0</v>
      </c>
      <c r="F19" s="14">
        <f t="shared" si="0"/>
        <v>-18.559999999999999</v>
      </c>
      <c r="G19" t="s">
        <v>7</v>
      </c>
      <c r="H19" t="s">
        <v>23</v>
      </c>
      <c r="I19" t="s">
        <v>34</v>
      </c>
    </row>
    <row r="20" spans="1:9" x14ac:dyDescent="0.2">
      <c r="A20" t="s">
        <v>19</v>
      </c>
      <c r="B20" s="1">
        <v>45145</v>
      </c>
      <c r="C20" t="s">
        <v>85</v>
      </c>
      <c r="D20" s="14">
        <v>64.349999999999994</v>
      </c>
      <c r="E20" s="21">
        <v>0</v>
      </c>
      <c r="F20" s="14">
        <f t="shared" si="0"/>
        <v>-64.349999999999994</v>
      </c>
      <c r="G20" t="s">
        <v>7</v>
      </c>
      <c r="H20" t="s">
        <v>23</v>
      </c>
      <c r="I20" t="s">
        <v>34</v>
      </c>
    </row>
    <row r="21" spans="1:9" x14ac:dyDescent="0.2">
      <c r="A21" t="s">
        <v>19</v>
      </c>
      <c r="B21" s="1">
        <v>45153</v>
      </c>
      <c r="C21" t="s">
        <v>86</v>
      </c>
      <c r="D21" s="14">
        <v>67.47</v>
      </c>
      <c r="E21" s="21">
        <v>0</v>
      </c>
      <c r="F21" s="14">
        <f t="shared" si="0"/>
        <v>-67.47</v>
      </c>
      <c r="G21" t="s">
        <v>7</v>
      </c>
      <c r="H21" t="s">
        <v>23</v>
      </c>
      <c r="I21" t="s">
        <v>34</v>
      </c>
    </row>
    <row r="22" spans="1:9" x14ac:dyDescent="0.2">
      <c r="A22" t="s">
        <v>19</v>
      </c>
      <c r="B22" s="1">
        <v>45114</v>
      </c>
      <c r="C22" t="s">
        <v>105</v>
      </c>
      <c r="D22" s="14">
        <v>5</v>
      </c>
      <c r="E22" s="21">
        <v>0</v>
      </c>
      <c r="F22" s="14">
        <f t="shared" si="0"/>
        <v>-5</v>
      </c>
      <c r="G22" t="s">
        <v>7</v>
      </c>
      <c r="H22" t="s">
        <v>23</v>
      </c>
      <c r="I22" t="s">
        <v>34</v>
      </c>
    </row>
    <row r="23" spans="1:9" x14ac:dyDescent="0.2">
      <c r="A23" t="s">
        <v>19</v>
      </c>
      <c r="B23" s="1">
        <v>45114</v>
      </c>
      <c r="C23" t="s">
        <v>106</v>
      </c>
      <c r="D23" s="14">
        <v>39.67</v>
      </c>
      <c r="E23" s="21">
        <v>0</v>
      </c>
      <c r="F23" s="14">
        <f t="shared" si="0"/>
        <v>-39.67</v>
      </c>
      <c r="G23" t="s">
        <v>7</v>
      </c>
      <c r="H23" t="s">
        <v>23</v>
      </c>
      <c r="I23" t="s">
        <v>34</v>
      </c>
    </row>
    <row r="24" spans="1:9" x14ac:dyDescent="0.2">
      <c r="A24" t="s">
        <v>19</v>
      </c>
      <c r="B24" s="1">
        <v>45114</v>
      </c>
      <c r="C24" t="s">
        <v>107</v>
      </c>
      <c r="D24" s="14">
        <v>28.95</v>
      </c>
      <c r="E24" s="21">
        <v>0</v>
      </c>
      <c r="F24" s="14">
        <f t="shared" si="0"/>
        <v>-28.95</v>
      </c>
      <c r="G24" t="s">
        <v>7</v>
      </c>
      <c r="H24" t="s">
        <v>23</v>
      </c>
      <c r="I24" t="s">
        <v>34</v>
      </c>
    </row>
    <row r="25" spans="1:9" x14ac:dyDescent="0.2">
      <c r="A25" t="s">
        <v>19</v>
      </c>
      <c r="B25" s="1">
        <v>45127</v>
      </c>
      <c r="C25" t="s">
        <v>108</v>
      </c>
      <c r="D25" s="14">
        <v>64.349999999999994</v>
      </c>
      <c r="E25" s="21">
        <v>0</v>
      </c>
      <c r="F25" s="14">
        <f t="shared" si="0"/>
        <v>-64.349999999999994</v>
      </c>
      <c r="G25" t="s">
        <v>7</v>
      </c>
      <c r="H25" t="s">
        <v>23</v>
      </c>
      <c r="I25" t="s">
        <v>34</v>
      </c>
    </row>
    <row r="26" spans="1:9" x14ac:dyDescent="0.2">
      <c r="A26" t="s">
        <v>19</v>
      </c>
      <c r="B26" s="1">
        <v>45134</v>
      </c>
      <c r="C26" t="s">
        <v>150</v>
      </c>
      <c r="D26" s="14">
        <v>58.16</v>
      </c>
      <c r="E26" s="21">
        <v>0</v>
      </c>
      <c r="F26" s="14">
        <f t="shared" si="0"/>
        <v>-58.16</v>
      </c>
      <c r="G26" t="s">
        <v>49</v>
      </c>
      <c r="H26" t="s">
        <v>24</v>
      </c>
      <c r="I26" t="s">
        <v>34</v>
      </c>
    </row>
    <row r="27" spans="1:9" x14ac:dyDescent="0.2">
      <c r="A27" t="s">
        <v>19</v>
      </c>
      <c r="B27" s="1">
        <v>45166</v>
      </c>
      <c r="C27" t="s">
        <v>150</v>
      </c>
      <c r="D27" s="14">
        <v>58.16</v>
      </c>
      <c r="E27" s="21">
        <v>0</v>
      </c>
      <c r="F27" s="14">
        <f t="shared" si="0"/>
        <v>-58.16</v>
      </c>
      <c r="G27" t="s">
        <v>49</v>
      </c>
      <c r="H27" t="s">
        <v>24</v>
      </c>
      <c r="I27" t="s">
        <v>34</v>
      </c>
    </row>
    <row r="28" spans="1:9" x14ac:dyDescent="0.2">
      <c r="A28" t="s">
        <v>19</v>
      </c>
      <c r="B28" s="1">
        <v>45173</v>
      </c>
      <c r="C28" t="s">
        <v>69</v>
      </c>
      <c r="D28" s="14">
        <v>22.28</v>
      </c>
      <c r="E28" s="21">
        <v>0</v>
      </c>
      <c r="F28" s="14">
        <f t="shared" si="0"/>
        <v>-22.28</v>
      </c>
      <c r="G28" t="s">
        <v>13</v>
      </c>
      <c r="H28" t="s">
        <v>13</v>
      </c>
      <c r="I28" t="s">
        <v>34</v>
      </c>
    </row>
    <row r="29" spans="1:9" x14ac:dyDescent="0.2">
      <c r="A29" t="s">
        <v>19</v>
      </c>
      <c r="B29" s="1">
        <v>45180</v>
      </c>
      <c r="C29" t="s">
        <v>70</v>
      </c>
      <c r="D29" s="14">
        <v>21.34</v>
      </c>
      <c r="E29" s="21">
        <v>0</v>
      </c>
      <c r="F29" s="14">
        <f t="shared" si="0"/>
        <v>-21.34</v>
      </c>
      <c r="G29" t="s">
        <v>13</v>
      </c>
      <c r="H29" t="s">
        <v>13</v>
      </c>
      <c r="I29" t="s">
        <v>34</v>
      </c>
    </row>
    <row r="30" spans="1:9" x14ac:dyDescent="0.2">
      <c r="A30" t="s">
        <v>19</v>
      </c>
      <c r="B30" s="1">
        <v>45188</v>
      </c>
      <c r="C30" t="s">
        <v>71</v>
      </c>
      <c r="D30" s="14">
        <v>28.96</v>
      </c>
      <c r="E30" s="21">
        <v>0</v>
      </c>
      <c r="F30" s="14">
        <f t="shared" si="0"/>
        <v>-28.96</v>
      </c>
      <c r="G30" t="s">
        <v>13</v>
      </c>
      <c r="H30" t="s">
        <v>13</v>
      </c>
      <c r="I30" t="s">
        <v>34</v>
      </c>
    </row>
    <row r="31" spans="1:9" x14ac:dyDescent="0.2">
      <c r="A31" t="s">
        <v>19</v>
      </c>
      <c r="B31" s="1">
        <v>45173</v>
      </c>
      <c r="C31" t="s">
        <v>72</v>
      </c>
      <c r="D31" s="14">
        <v>9.25</v>
      </c>
      <c r="E31" s="21">
        <v>0</v>
      </c>
      <c r="F31" s="14">
        <f t="shared" si="0"/>
        <v>-9.25</v>
      </c>
      <c r="G31" t="s">
        <v>13</v>
      </c>
      <c r="H31" t="s">
        <v>13</v>
      </c>
      <c r="I31" t="s">
        <v>34</v>
      </c>
    </row>
    <row r="32" spans="1:9" x14ac:dyDescent="0.2">
      <c r="A32" t="s">
        <v>19</v>
      </c>
      <c r="B32" s="1">
        <v>45123</v>
      </c>
      <c r="C32" t="s">
        <v>70</v>
      </c>
      <c r="D32" s="14">
        <v>14.65</v>
      </c>
      <c r="E32" s="21">
        <v>0</v>
      </c>
      <c r="F32" s="14">
        <f t="shared" si="0"/>
        <v>-14.65</v>
      </c>
      <c r="G32" t="s">
        <v>13</v>
      </c>
      <c r="H32" t="s">
        <v>13</v>
      </c>
      <c r="I32" t="s">
        <v>34</v>
      </c>
    </row>
    <row r="33" spans="1:9" x14ac:dyDescent="0.2">
      <c r="A33" t="s">
        <v>19</v>
      </c>
      <c r="B33" s="1">
        <v>45128</v>
      </c>
      <c r="C33" t="s">
        <v>70</v>
      </c>
      <c r="D33" s="14">
        <v>18.510000000000002</v>
      </c>
      <c r="E33" s="21">
        <v>0</v>
      </c>
      <c r="F33" s="14">
        <f t="shared" si="0"/>
        <v>-18.510000000000002</v>
      </c>
      <c r="G33" t="s">
        <v>13</v>
      </c>
      <c r="H33" t="s">
        <v>13</v>
      </c>
      <c r="I33" t="s">
        <v>34</v>
      </c>
    </row>
    <row r="34" spans="1:9" x14ac:dyDescent="0.2">
      <c r="A34" t="s">
        <v>19</v>
      </c>
      <c r="B34" s="1">
        <v>45165</v>
      </c>
      <c r="C34" t="s">
        <v>73</v>
      </c>
      <c r="D34" s="14">
        <v>32</v>
      </c>
      <c r="E34" s="21">
        <v>0</v>
      </c>
      <c r="F34" s="14">
        <f t="shared" si="0"/>
        <v>-32</v>
      </c>
      <c r="G34" t="s">
        <v>13</v>
      </c>
      <c r="H34" t="s">
        <v>13</v>
      </c>
      <c r="I34" t="s">
        <v>34</v>
      </c>
    </row>
    <row r="35" spans="1:9" x14ac:dyDescent="0.2">
      <c r="A35" t="s">
        <v>19</v>
      </c>
      <c r="B35" s="1">
        <v>45186</v>
      </c>
      <c r="C35" t="s">
        <v>70</v>
      </c>
      <c r="D35" s="14">
        <v>18.510000000000002</v>
      </c>
      <c r="E35" s="21">
        <v>0</v>
      </c>
      <c r="F35" s="14">
        <f t="shared" si="0"/>
        <v>-18.510000000000002</v>
      </c>
      <c r="G35" t="s">
        <v>13</v>
      </c>
      <c r="H35" t="s">
        <v>13</v>
      </c>
      <c r="I35" t="s">
        <v>34</v>
      </c>
    </row>
    <row r="36" spans="1:9" x14ac:dyDescent="0.2">
      <c r="A36" t="s">
        <v>19</v>
      </c>
      <c r="B36" s="1">
        <v>45190</v>
      </c>
      <c r="C36" t="s">
        <v>74</v>
      </c>
      <c r="D36" s="14">
        <v>11.05</v>
      </c>
      <c r="E36" s="21">
        <v>0</v>
      </c>
      <c r="F36" s="14">
        <f t="shared" si="0"/>
        <v>-11.05</v>
      </c>
      <c r="G36" t="s">
        <v>13</v>
      </c>
      <c r="H36" t="s">
        <v>13</v>
      </c>
      <c r="I36" t="s">
        <v>34</v>
      </c>
    </row>
    <row r="37" spans="1:9" x14ac:dyDescent="0.2">
      <c r="A37" t="s">
        <v>19</v>
      </c>
      <c r="B37" s="1">
        <v>45155</v>
      </c>
      <c r="C37" t="s">
        <v>75</v>
      </c>
      <c r="D37" s="14">
        <v>10.35</v>
      </c>
      <c r="E37" s="21">
        <v>0</v>
      </c>
      <c r="F37" s="14">
        <f t="shared" si="0"/>
        <v>-10.35</v>
      </c>
      <c r="G37" t="s">
        <v>13</v>
      </c>
      <c r="H37" t="s">
        <v>13</v>
      </c>
      <c r="I37" t="s">
        <v>34</v>
      </c>
    </row>
    <row r="38" spans="1:9" x14ac:dyDescent="0.2">
      <c r="A38" t="s">
        <v>19</v>
      </c>
      <c r="B38" s="1">
        <v>45155</v>
      </c>
      <c r="C38" t="s">
        <v>76</v>
      </c>
      <c r="D38" s="14">
        <v>30.27</v>
      </c>
      <c r="E38" s="21">
        <v>0</v>
      </c>
      <c r="F38" s="14">
        <f t="shared" si="0"/>
        <v>-30.27</v>
      </c>
      <c r="G38" t="s">
        <v>13</v>
      </c>
      <c r="H38" t="s">
        <v>13</v>
      </c>
      <c r="I38" t="s">
        <v>34</v>
      </c>
    </row>
    <row r="39" spans="1:9" x14ac:dyDescent="0.2">
      <c r="A39" t="s">
        <v>19</v>
      </c>
      <c r="B39" s="1">
        <v>45108</v>
      </c>
      <c r="C39" t="s">
        <v>111</v>
      </c>
      <c r="D39" s="14">
        <v>6.5</v>
      </c>
      <c r="E39" s="21">
        <v>0</v>
      </c>
      <c r="F39" s="14">
        <f t="shared" si="0"/>
        <v>-6.5</v>
      </c>
      <c r="G39" t="s">
        <v>13</v>
      </c>
      <c r="H39" t="s">
        <v>13</v>
      </c>
      <c r="I39" t="s">
        <v>34</v>
      </c>
    </row>
    <row r="40" spans="1:9" x14ac:dyDescent="0.2">
      <c r="A40" t="s">
        <v>19</v>
      </c>
      <c r="B40" s="1">
        <v>45110</v>
      </c>
      <c r="C40" t="s">
        <v>97</v>
      </c>
      <c r="D40" s="14">
        <v>10.67</v>
      </c>
      <c r="E40" s="21">
        <v>0</v>
      </c>
      <c r="F40" s="14">
        <f t="shared" si="0"/>
        <v>-10.67</v>
      </c>
      <c r="G40" t="s">
        <v>13</v>
      </c>
      <c r="H40" t="s">
        <v>13</v>
      </c>
      <c r="I40" t="s">
        <v>34</v>
      </c>
    </row>
    <row r="41" spans="1:9" x14ac:dyDescent="0.2">
      <c r="A41" t="s">
        <v>19</v>
      </c>
      <c r="B41" s="1">
        <v>45114</v>
      </c>
      <c r="C41" t="s">
        <v>111</v>
      </c>
      <c r="D41" s="14">
        <v>23.05</v>
      </c>
      <c r="E41" s="21">
        <v>0</v>
      </c>
      <c r="F41" s="14">
        <f t="shared" si="0"/>
        <v>-23.05</v>
      </c>
      <c r="G41" t="s">
        <v>13</v>
      </c>
      <c r="H41" t="s">
        <v>13</v>
      </c>
      <c r="I41" t="s">
        <v>34</v>
      </c>
    </row>
    <row r="42" spans="1:9" x14ac:dyDescent="0.2">
      <c r="A42" t="s">
        <v>19</v>
      </c>
      <c r="B42" s="1">
        <v>45114</v>
      </c>
      <c r="C42" t="s">
        <v>72</v>
      </c>
      <c r="D42" s="14">
        <v>23.33</v>
      </c>
      <c r="E42" s="21">
        <v>0</v>
      </c>
      <c r="F42" s="14">
        <f t="shared" si="0"/>
        <v>-23.33</v>
      </c>
      <c r="G42" t="s">
        <v>13</v>
      </c>
      <c r="H42" t="s">
        <v>13</v>
      </c>
      <c r="I42" t="s">
        <v>34</v>
      </c>
    </row>
    <row r="43" spans="1:9" x14ac:dyDescent="0.2">
      <c r="A43" t="s">
        <v>19</v>
      </c>
      <c r="B43" s="1">
        <v>45115</v>
      </c>
      <c r="C43" t="s">
        <v>112</v>
      </c>
      <c r="D43" s="14">
        <v>21</v>
      </c>
      <c r="E43" s="21">
        <v>0</v>
      </c>
      <c r="F43" s="14">
        <f t="shared" si="0"/>
        <v>-21</v>
      </c>
      <c r="G43" t="s">
        <v>13</v>
      </c>
      <c r="H43" t="s">
        <v>13</v>
      </c>
      <c r="I43" t="s">
        <v>34</v>
      </c>
    </row>
    <row r="44" spans="1:9" x14ac:dyDescent="0.2">
      <c r="A44" t="s">
        <v>19</v>
      </c>
      <c r="B44" s="1">
        <v>45120</v>
      </c>
      <c r="C44" t="s">
        <v>70</v>
      </c>
      <c r="D44" s="14">
        <v>5.98</v>
      </c>
      <c r="E44" s="21">
        <v>0</v>
      </c>
      <c r="F44" s="14">
        <f t="shared" si="0"/>
        <v>-5.98</v>
      </c>
      <c r="G44" t="s">
        <v>13</v>
      </c>
      <c r="H44" t="s">
        <v>13</v>
      </c>
      <c r="I44" t="s">
        <v>34</v>
      </c>
    </row>
    <row r="45" spans="1:9" x14ac:dyDescent="0.2">
      <c r="A45" t="s">
        <v>19</v>
      </c>
      <c r="B45" s="1">
        <v>45122</v>
      </c>
      <c r="C45" t="s">
        <v>113</v>
      </c>
      <c r="D45" s="14">
        <v>7.19</v>
      </c>
      <c r="E45" s="21">
        <v>0</v>
      </c>
      <c r="F45" s="14">
        <f t="shared" si="0"/>
        <v>-7.19</v>
      </c>
      <c r="G45" t="s">
        <v>13</v>
      </c>
      <c r="H45" t="s">
        <v>13</v>
      </c>
      <c r="I45" t="s">
        <v>34</v>
      </c>
    </row>
    <row r="46" spans="1:9" x14ac:dyDescent="0.2">
      <c r="A46" t="s">
        <v>19</v>
      </c>
      <c r="B46" s="1">
        <v>45129</v>
      </c>
      <c r="C46" t="s">
        <v>111</v>
      </c>
      <c r="D46" s="14">
        <v>6.5</v>
      </c>
      <c r="E46" s="21">
        <v>0</v>
      </c>
      <c r="F46" s="14">
        <f t="shared" si="0"/>
        <v>-6.5</v>
      </c>
      <c r="G46" t="s">
        <v>13</v>
      </c>
      <c r="H46" t="s">
        <v>13</v>
      </c>
      <c r="I46" t="s">
        <v>34</v>
      </c>
    </row>
    <row r="47" spans="1:9" x14ac:dyDescent="0.2">
      <c r="A47" t="s">
        <v>19</v>
      </c>
      <c r="B47" s="1">
        <v>45131</v>
      </c>
      <c r="C47" t="s">
        <v>114</v>
      </c>
      <c r="D47" s="14">
        <v>4.4000000000000004</v>
      </c>
      <c r="E47" s="21">
        <v>0</v>
      </c>
      <c r="F47" s="14">
        <f t="shared" si="0"/>
        <v>-4.4000000000000004</v>
      </c>
      <c r="G47" t="s">
        <v>13</v>
      </c>
      <c r="H47" t="s">
        <v>13</v>
      </c>
      <c r="I47" t="s">
        <v>34</v>
      </c>
    </row>
    <row r="48" spans="1:9" x14ac:dyDescent="0.2">
      <c r="A48" t="s">
        <v>19</v>
      </c>
      <c r="B48" s="1">
        <v>45132</v>
      </c>
      <c r="C48" t="s">
        <v>115</v>
      </c>
      <c r="D48" s="14">
        <v>39</v>
      </c>
      <c r="E48" s="21">
        <v>0</v>
      </c>
      <c r="F48" s="14">
        <f t="shared" si="0"/>
        <v>-39</v>
      </c>
      <c r="G48" t="s">
        <v>13</v>
      </c>
      <c r="H48" t="s">
        <v>13</v>
      </c>
      <c r="I48" t="s">
        <v>34</v>
      </c>
    </row>
    <row r="49" spans="1:9" x14ac:dyDescent="0.2">
      <c r="A49" t="s">
        <v>19</v>
      </c>
      <c r="B49" s="1">
        <v>45135</v>
      </c>
      <c r="C49" t="s">
        <v>116</v>
      </c>
      <c r="D49" s="14">
        <v>12.27</v>
      </c>
      <c r="E49" s="21">
        <v>0</v>
      </c>
      <c r="F49" s="14">
        <f t="shared" si="0"/>
        <v>-12.27</v>
      </c>
      <c r="G49" t="s">
        <v>13</v>
      </c>
      <c r="H49" t="s">
        <v>13</v>
      </c>
      <c r="I49" t="s">
        <v>34</v>
      </c>
    </row>
    <row r="50" spans="1:9" x14ac:dyDescent="0.2">
      <c r="A50" t="s">
        <v>19</v>
      </c>
      <c r="B50" s="1">
        <v>45138</v>
      </c>
      <c r="C50" t="s">
        <v>117</v>
      </c>
      <c r="D50" s="14">
        <v>35</v>
      </c>
      <c r="E50" s="21">
        <v>0</v>
      </c>
      <c r="F50" s="14">
        <f t="shared" si="0"/>
        <v>-35</v>
      </c>
      <c r="G50" t="s">
        <v>13</v>
      </c>
      <c r="H50" t="s">
        <v>13</v>
      </c>
      <c r="I50" t="s">
        <v>34</v>
      </c>
    </row>
    <row r="51" spans="1:9" x14ac:dyDescent="0.2">
      <c r="A51" t="s">
        <v>19</v>
      </c>
      <c r="B51" s="1">
        <v>45139</v>
      </c>
      <c r="C51" t="s">
        <v>118</v>
      </c>
      <c r="D51" s="14">
        <v>87</v>
      </c>
      <c r="E51" s="21">
        <v>0</v>
      </c>
      <c r="F51" s="14">
        <f t="shared" si="0"/>
        <v>-87</v>
      </c>
      <c r="G51" t="s">
        <v>13</v>
      </c>
      <c r="H51" t="s">
        <v>13</v>
      </c>
      <c r="I51" t="s">
        <v>34</v>
      </c>
    </row>
    <row r="52" spans="1:9" x14ac:dyDescent="0.2">
      <c r="A52" t="s">
        <v>19</v>
      </c>
      <c r="B52" s="1">
        <v>45145</v>
      </c>
      <c r="C52" t="s">
        <v>119</v>
      </c>
      <c r="D52" s="14">
        <v>26.26</v>
      </c>
      <c r="E52" s="21">
        <v>0</v>
      </c>
      <c r="F52" s="14">
        <f t="shared" si="0"/>
        <v>-26.26</v>
      </c>
      <c r="G52" t="s">
        <v>13</v>
      </c>
      <c r="H52" t="s">
        <v>13</v>
      </c>
      <c r="I52" t="s">
        <v>34</v>
      </c>
    </row>
    <row r="53" spans="1:9" x14ac:dyDescent="0.2">
      <c r="A53" t="s">
        <v>19</v>
      </c>
      <c r="B53" s="1">
        <v>45145</v>
      </c>
      <c r="C53" t="s">
        <v>120</v>
      </c>
      <c r="D53" s="14">
        <v>3.58</v>
      </c>
      <c r="E53" s="21">
        <v>0</v>
      </c>
      <c r="F53" s="14">
        <f t="shared" si="0"/>
        <v>-3.58</v>
      </c>
      <c r="G53" t="s">
        <v>13</v>
      </c>
      <c r="H53" t="s">
        <v>13</v>
      </c>
      <c r="I53" t="s">
        <v>34</v>
      </c>
    </row>
    <row r="54" spans="1:9" x14ac:dyDescent="0.2">
      <c r="A54" t="s">
        <v>19</v>
      </c>
      <c r="B54" s="1">
        <v>45145</v>
      </c>
      <c r="C54" t="s">
        <v>121</v>
      </c>
      <c r="D54" s="14">
        <v>2.06</v>
      </c>
      <c r="E54" s="21">
        <v>0</v>
      </c>
      <c r="F54" s="14">
        <f t="shared" si="0"/>
        <v>-2.06</v>
      </c>
      <c r="G54" t="s">
        <v>13</v>
      </c>
      <c r="H54" t="s">
        <v>13</v>
      </c>
      <c r="I54" t="s">
        <v>34</v>
      </c>
    </row>
    <row r="55" spans="1:9" x14ac:dyDescent="0.2">
      <c r="A55" t="s">
        <v>19</v>
      </c>
      <c r="B55" s="1">
        <v>45145</v>
      </c>
      <c r="C55" t="s">
        <v>122</v>
      </c>
      <c r="D55" s="14">
        <v>8.6999999999999993</v>
      </c>
      <c r="E55" s="21">
        <v>0</v>
      </c>
      <c r="F55" s="14">
        <f t="shared" si="0"/>
        <v>-8.6999999999999993</v>
      </c>
      <c r="G55" t="s">
        <v>13</v>
      </c>
      <c r="H55" t="s">
        <v>13</v>
      </c>
      <c r="I55" t="s">
        <v>34</v>
      </c>
    </row>
    <row r="56" spans="1:9" x14ac:dyDescent="0.2">
      <c r="A56" t="s">
        <v>19</v>
      </c>
      <c r="B56" s="1">
        <v>45145</v>
      </c>
      <c r="C56" t="s">
        <v>123</v>
      </c>
      <c r="D56" s="14">
        <v>22.52</v>
      </c>
      <c r="E56" s="21">
        <v>0</v>
      </c>
      <c r="F56" s="14">
        <f t="shared" si="0"/>
        <v>-22.52</v>
      </c>
      <c r="G56" t="s">
        <v>13</v>
      </c>
      <c r="H56" t="s">
        <v>13</v>
      </c>
      <c r="I56" t="s">
        <v>34</v>
      </c>
    </row>
    <row r="57" spans="1:9" x14ac:dyDescent="0.2">
      <c r="A57" t="s">
        <v>19</v>
      </c>
      <c r="B57" s="1">
        <v>45147</v>
      </c>
      <c r="C57" t="s">
        <v>70</v>
      </c>
      <c r="D57" s="14">
        <v>59.42</v>
      </c>
      <c r="E57" s="21">
        <v>0</v>
      </c>
      <c r="F57" s="14">
        <f t="shared" si="0"/>
        <v>-59.42</v>
      </c>
      <c r="G57" t="s">
        <v>13</v>
      </c>
      <c r="H57" t="s">
        <v>13</v>
      </c>
      <c r="I57" t="s">
        <v>34</v>
      </c>
    </row>
    <row r="58" spans="1:9" x14ac:dyDescent="0.2">
      <c r="A58" t="s">
        <v>19</v>
      </c>
      <c r="B58" s="1">
        <v>45147</v>
      </c>
      <c r="C58" t="s">
        <v>124</v>
      </c>
      <c r="D58" s="14">
        <v>13.35</v>
      </c>
      <c r="E58" s="21">
        <v>0</v>
      </c>
      <c r="F58" s="14">
        <f t="shared" si="0"/>
        <v>-13.35</v>
      </c>
      <c r="G58" t="s">
        <v>13</v>
      </c>
      <c r="H58" t="s">
        <v>13</v>
      </c>
      <c r="I58" t="s">
        <v>34</v>
      </c>
    </row>
    <row r="59" spans="1:9" x14ac:dyDescent="0.2">
      <c r="A59" t="s">
        <v>19</v>
      </c>
      <c r="B59" s="1">
        <v>45152</v>
      </c>
      <c r="C59" t="s">
        <v>114</v>
      </c>
      <c r="D59" s="14">
        <v>8.4</v>
      </c>
      <c r="E59" s="21">
        <v>0</v>
      </c>
      <c r="F59" s="14">
        <f t="shared" si="0"/>
        <v>-8.4</v>
      </c>
      <c r="G59" t="s">
        <v>13</v>
      </c>
      <c r="H59" t="s">
        <v>13</v>
      </c>
      <c r="I59" t="s">
        <v>34</v>
      </c>
    </row>
    <row r="60" spans="1:9" x14ac:dyDescent="0.2">
      <c r="A60" t="s">
        <v>19</v>
      </c>
      <c r="B60" s="1">
        <v>45153</v>
      </c>
      <c r="C60" t="s">
        <v>69</v>
      </c>
      <c r="D60" s="14">
        <v>17.14</v>
      </c>
      <c r="E60" s="21">
        <v>0</v>
      </c>
      <c r="F60" s="14">
        <f t="shared" si="0"/>
        <v>-17.14</v>
      </c>
      <c r="G60" t="s">
        <v>13</v>
      </c>
      <c r="H60" t="s">
        <v>13</v>
      </c>
      <c r="I60" t="s">
        <v>34</v>
      </c>
    </row>
    <row r="61" spans="1:9" x14ac:dyDescent="0.2">
      <c r="A61" t="s">
        <v>19</v>
      </c>
      <c r="B61" s="1">
        <v>45154</v>
      </c>
      <c r="C61" t="s">
        <v>125</v>
      </c>
      <c r="D61" s="14">
        <v>5.9</v>
      </c>
      <c r="E61" s="21">
        <v>0</v>
      </c>
      <c r="F61" s="14">
        <f t="shared" si="0"/>
        <v>-5.9</v>
      </c>
      <c r="G61" t="s">
        <v>13</v>
      </c>
      <c r="H61" t="s">
        <v>13</v>
      </c>
      <c r="I61" t="s">
        <v>34</v>
      </c>
    </row>
    <row r="62" spans="1:9" x14ac:dyDescent="0.2">
      <c r="A62" t="s">
        <v>19</v>
      </c>
      <c r="B62" s="1">
        <v>45159</v>
      </c>
      <c r="C62" t="s">
        <v>126</v>
      </c>
      <c r="D62" s="14">
        <v>28</v>
      </c>
      <c r="E62" s="21">
        <v>0</v>
      </c>
      <c r="F62" s="14">
        <f t="shared" si="0"/>
        <v>-28</v>
      </c>
      <c r="G62" t="s">
        <v>13</v>
      </c>
      <c r="H62" t="s">
        <v>13</v>
      </c>
      <c r="I62" t="s">
        <v>34</v>
      </c>
    </row>
    <row r="63" spans="1:9" x14ac:dyDescent="0.2">
      <c r="A63" t="s">
        <v>19</v>
      </c>
      <c r="B63" s="1">
        <v>45159</v>
      </c>
      <c r="C63" t="s">
        <v>127</v>
      </c>
      <c r="D63" s="14">
        <v>60</v>
      </c>
      <c r="E63" s="21">
        <v>0</v>
      </c>
      <c r="F63" s="14">
        <f t="shared" si="0"/>
        <v>-60</v>
      </c>
      <c r="G63" t="s">
        <v>13</v>
      </c>
      <c r="H63" t="s">
        <v>13</v>
      </c>
      <c r="I63" t="s">
        <v>34</v>
      </c>
    </row>
    <row r="64" spans="1:9" x14ac:dyDescent="0.2">
      <c r="A64" t="s">
        <v>19</v>
      </c>
      <c r="B64" s="1">
        <v>45164</v>
      </c>
      <c r="C64" t="s">
        <v>114</v>
      </c>
      <c r="D64" s="14">
        <v>3.65</v>
      </c>
      <c r="E64" s="21">
        <v>0</v>
      </c>
      <c r="F64" s="14">
        <f t="shared" si="0"/>
        <v>-3.65</v>
      </c>
      <c r="G64" t="s">
        <v>13</v>
      </c>
      <c r="H64" t="s">
        <v>13</v>
      </c>
      <c r="I64" t="s">
        <v>34</v>
      </c>
    </row>
    <row r="65" spans="1:9" x14ac:dyDescent="0.2">
      <c r="A65" t="s">
        <v>19</v>
      </c>
      <c r="B65" s="1">
        <v>45166</v>
      </c>
      <c r="C65" t="s">
        <v>128</v>
      </c>
      <c r="D65" s="14">
        <v>26.36</v>
      </c>
      <c r="E65" s="21">
        <v>0</v>
      </c>
      <c r="F65" s="14">
        <f t="shared" si="0"/>
        <v>-26.36</v>
      </c>
      <c r="G65" t="s">
        <v>13</v>
      </c>
      <c r="H65" t="s">
        <v>13</v>
      </c>
      <c r="I65" t="s">
        <v>34</v>
      </c>
    </row>
    <row r="66" spans="1:9" x14ac:dyDescent="0.2">
      <c r="A66" t="s">
        <v>19</v>
      </c>
      <c r="B66" s="1">
        <v>45189</v>
      </c>
      <c r="C66" t="s">
        <v>128</v>
      </c>
      <c r="D66" s="14">
        <v>26.36</v>
      </c>
      <c r="E66" s="21">
        <v>0</v>
      </c>
      <c r="F66" s="14">
        <f t="shared" ref="F66:F129" si="1">E66-D66</f>
        <v>-26.36</v>
      </c>
      <c r="G66" t="s">
        <v>13</v>
      </c>
      <c r="H66" t="s">
        <v>13</v>
      </c>
      <c r="I66" t="s">
        <v>34</v>
      </c>
    </row>
    <row r="67" spans="1:9" x14ac:dyDescent="0.2">
      <c r="A67" t="s">
        <v>19</v>
      </c>
      <c r="B67" s="1">
        <v>45189</v>
      </c>
      <c r="C67" t="s">
        <v>128</v>
      </c>
      <c r="D67" s="14">
        <v>26.36</v>
      </c>
      <c r="E67" s="21">
        <v>0</v>
      </c>
      <c r="F67" s="14">
        <f t="shared" si="1"/>
        <v>-26.36</v>
      </c>
      <c r="G67" t="s">
        <v>13</v>
      </c>
      <c r="H67" t="s">
        <v>13</v>
      </c>
      <c r="I67" t="s">
        <v>34</v>
      </c>
    </row>
    <row r="68" spans="1:9" x14ac:dyDescent="0.2">
      <c r="A68" t="s">
        <v>19</v>
      </c>
      <c r="B68" s="1">
        <v>45165</v>
      </c>
      <c r="C68" t="s">
        <v>73</v>
      </c>
      <c r="D68" s="14">
        <v>32</v>
      </c>
      <c r="E68" s="21">
        <v>0</v>
      </c>
      <c r="F68" s="14">
        <f t="shared" si="1"/>
        <v>-32</v>
      </c>
      <c r="G68" t="s">
        <v>13</v>
      </c>
      <c r="H68" t="s">
        <v>13</v>
      </c>
      <c r="I68" t="s">
        <v>34</v>
      </c>
    </row>
    <row r="69" spans="1:9" x14ac:dyDescent="0.2">
      <c r="A69" t="s">
        <v>19</v>
      </c>
      <c r="B69" s="1">
        <v>45152</v>
      </c>
      <c r="C69" t="s">
        <v>174</v>
      </c>
      <c r="D69" s="14">
        <v>222</v>
      </c>
      <c r="E69" s="21">
        <v>0</v>
      </c>
      <c r="F69" s="14">
        <f t="shared" si="1"/>
        <v>-222</v>
      </c>
      <c r="G69" t="s">
        <v>26</v>
      </c>
      <c r="H69" t="s">
        <v>26</v>
      </c>
      <c r="I69" t="s">
        <v>34</v>
      </c>
    </row>
    <row r="70" spans="1:9" x14ac:dyDescent="0.2">
      <c r="A70" t="s">
        <v>19</v>
      </c>
      <c r="B70" s="1">
        <v>45180</v>
      </c>
      <c r="C70" t="s">
        <v>174</v>
      </c>
      <c r="D70" s="14">
        <v>85</v>
      </c>
      <c r="E70" s="21">
        <v>0</v>
      </c>
      <c r="F70" s="14">
        <f t="shared" si="1"/>
        <v>-85</v>
      </c>
      <c r="G70" t="s">
        <v>26</v>
      </c>
      <c r="H70" t="s">
        <v>26</v>
      </c>
      <c r="I70" t="s">
        <v>34</v>
      </c>
    </row>
    <row r="71" spans="1:9" x14ac:dyDescent="0.2">
      <c r="A71" t="s">
        <v>20</v>
      </c>
      <c r="B71" s="1">
        <v>45176</v>
      </c>
      <c r="C71" t="s">
        <v>91</v>
      </c>
      <c r="D71" s="14">
        <v>10.53</v>
      </c>
      <c r="E71" s="21">
        <v>0</v>
      </c>
      <c r="F71" s="14">
        <f t="shared" si="1"/>
        <v>-10.53</v>
      </c>
      <c r="G71" t="s">
        <v>30</v>
      </c>
      <c r="H71" t="s">
        <v>28</v>
      </c>
      <c r="I71" t="s">
        <v>34</v>
      </c>
    </row>
    <row r="72" spans="1:9" x14ac:dyDescent="0.2">
      <c r="A72" t="s">
        <v>20</v>
      </c>
      <c r="B72" s="1">
        <v>45180</v>
      </c>
      <c r="C72" t="s">
        <v>92</v>
      </c>
      <c r="D72" s="14">
        <v>169.73</v>
      </c>
      <c r="E72" s="21">
        <v>0</v>
      </c>
      <c r="F72" s="14">
        <f t="shared" si="1"/>
        <v>-169.73</v>
      </c>
      <c r="G72" t="s">
        <v>30</v>
      </c>
      <c r="H72" t="s">
        <v>28</v>
      </c>
      <c r="I72" t="s">
        <v>34</v>
      </c>
    </row>
    <row r="73" spans="1:9" x14ac:dyDescent="0.2">
      <c r="A73" t="s">
        <v>20</v>
      </c>
      <c r="B73" s="1">
        <v>45146</v>
      </c>
      <c r="C73" t="s">
        <v>91</v>
      </c>
      <c r="D73" s="14">
        <v>11.93</v>
      </c>
      <c r="E73" s="21">
        <v>0</v>
      </c>
      <c r="F73" s="14">
        <f t="shared" si="1"/>
        <v>-11.93</v>
      </c>
      <c r="G73" t="s">
        <v>30</v>
      </c>
      <c r="H73" t="s">
        <v>28</v>
      </c>
      <c r="I73" t="s">
        <v>34</v>
      </c>
    </row>
    <row r="74" spans="1:9" x14ac:dyDescent="0.2">
      <c r="A74" t="s">
        <v>20</v>
      </c>
      <c r="B74" s="1">
        <v>45148</v>
      </c>
      <c r="C74" t="s">
        <v>92</v>
      </c>
      <c r="D74" s="14">
        <v>152.21</v>
      </c>
      <c r="E74" s="21">
        <v>0</v>
      </c>
      <c r="F74" s="14">
        <f t="shared" si="1"/>
        <v>-152.21</v>
      </c>
      <c r="G74" t="s">
        <v>30</v>
      </c>
      <c r="H74" t="s">
        <v>28</v>
      </c>
      <c r="I74" t="s">
        <v>34</v>
      </c>
    </row>
    <row r="75" spans="1:9" x14ac:dyDescent="0.2">
      <c r="A75" t="s">
        <v>20</v>
      </c>
      <c r="B75" s="1">
        <v>45114</v>
      </c>
      <c r="C75" t="s">
        <v>91</v>
      </c>
      <c r="D75" s="14">
        <v>9.89</v>
      </c>
      <c r="E75" s="21">
        <v>0</v>
      </c>
      <c r="F75" s="14">
        <f t="shared" si="1"/>
        <v>-9.89</v>
      </c>
      <c r="G75" t="s">
        <v>30</v>
      </c>
      <c r="H75" t="s">
        <v>28</v>
      </c>
      <c r="I75" t="s">
        <v>34</v>
      </c>
    </row>
    <row r="76" spans="1:9" x14ac:dyDescent="0.2">
      <c r="A76" t="s">
        <v>20</v>
      </c>
      <c r="B76" s="1">
        <v>45118</v>
      </c>
      <c r="C76" t="s">
        <v>92</v>
      </c>
      <c r="D76" s="14">
        <v>42.37</v>
      </c>
      <c r="E76" s="21">
        <v>0</v>
      </c>
      <c r="F76" s="14">
        <f t="shared" si="1"/>
        <v>-42.37</v>
      </c>
      <c r="G76" t="s">
        <v>30</v>
      </c>
      <c r="H76" t="s">
        <v>28</v>
      </c>
      <c r="I76" t="s">
        <v>34</v>
      </c>
    </row>
    <row r="77" spans="1:9" x14ac:dyDescent="0.2">
      <c r="A77" t="s">
        <v>20</v>
      </c>
      <c r="B77" s="1">
        <v>45152</v>
      </c>
      <c r="C77" t="s">
        <v>110</v>
      </c>
      <c r="D77" s="14">
        <v>2.5</v>
      </c>
      <c r="E77" s="21">
        <v>0</v>
      </c>
      <c r="F77" s="14">
        <f t="shared" si="1"/>
        <v>-2.5</v>
      </c>
      <c r="G77" t="s">
        <v>47</v>
      </c>
      <c r="H77" t="s">
        <v>23</v>
      </c>
      <c r="I77" t="s">
        <v>34</v>
      </c>
    </row>
    <row r="78" spans="1:9" x14ac:dyDescent="0.2">
      <c r="A78" t="s">
        <v>19</v>
      </c>
      <c r="B78" s="1">
        <v>45114</v>
      </c>
      <c r="C78" t="s">
        <v>129</v>
      </c>
      <c r="D78" s="14">
        <v>41.46</v>
      </c>
      <c r="E78" s="21">
        <v>0</v>
      </c>
      <c r="F78" s="14">
        <f t="shared" si="1"/>
        <v>-41.46</v>
      </c>
      <c r="G78" t="s">
        <v>10</v>
      </c>
      <c r="H78" t="s">
        <v>31</v>
      </c>
      <c r="I78" t="s">
        <v>34</v>
      </c>
    </row>
    <row r="79" spans="1:9" x14ac:dyDescent="0.2">
      <c r="A79" t="s">
        <v>19</v>
      </c>
      <c r="B79" s="1">
        <v>45117</v>
      </c>
      <c r="C79" t="s">
        <v>130</v>
      </c>
      <c r="D79" s="14">
        <v>63.8</v>
      </c>
      <c r="E79" s="21">
        <v>0</v>
      </c>
      <c r="F79" s="14">
        <f t="shared" si="1"/>
        <v>-63.8</v>
      </c>
      <c r="G79" t="s">
        <v>10</v>
      </c>
      <c r="H79" t="s">
        <v>31</v>
      </c>
      <c r="I79" t="s">
        <v>34</v>
      </c>
    </row>
    <row r="80" spans="1:9" x14ac:dyDescent="0.2">
      <c r="A80" t="s">
        <v>20</v>
      </c>
      <c r="B80" s="1">
        <v>45118</v>
      </c>
      <c r="C80" t="s">
        <v>131</v>
      </c>
      <c r="D80" s="14">
        <v>37.549999999999997</v>
      </c>
      <c r="E80" s="21">
        <v>0</v>
      </c>
      <c r="F80" s="14">
        <f t="shared" si="1"/>
        <v>-37.549999999999997</v>
      </c>
      <c r="G80" t="s">
        <v>10</v>
      </c>
      <c r="H80" t="s">
        <v>31</v>
      </c>
      <c r="I80" t="s">
        <v>34</v>
      </c>
    </row>
    <row r="81" spans="1:9" x14ac:dyDescent="0.2">
      <c r="A81" t="s">
        <v>19</v>
      </c>
      <c r="B81" s="1">
        <v>45128</v>
      </c>
      <c r="C81" t="s">
        <v>132</v>
      </c>
      <c r="D81" s="14">
        <v>59.34</v>
      </c>
      <c r="E81" s="21">
        <v>0</v>
      </c>
      <c r="F81" s="14">
        <f t="shared" si="1"/>
        <v>-59.34</v>
      </c>
      <c r="G81" t="s">
        <v>10</v>
      </c>
      <c r="H81" t="s">
        <v>31</v>
      </c>
      <c r="I81" t="s">
        <v>34</v>
      </c>
    </row>
    <row r="82" spans="1:9" x14ac:dyDescent="0.2">
      <c r="A82" t="s">
        <v>19</v>
      </c>
      <c r="B82" s="1">
        <v>45135</v>
      </c>
      <c r="C82" t="s">
        <v>133</v>
      </c>
      <c r="D82" s="14">
        <v>45</v>
      </c>
      <c r="E82" s="21">
        <v>0</v>
      </c>
      <c r="F82" s="14">
        <f t="shared" si="1"/>
        <v>-45</v>
      </c>
      <c r="G82" t="s">
        <v>10</v>
      </c>
      <c r="H82" t="s">
        <v>31</v>
      </c>
      <c r="I82" t="s">
        <v>34</v>
      </c>
    </row>
    <row r="83" spans="1:9" x14ac:dyDescent="0.2">
      <c r="A83" t="s">
        <v>19</v>
      </c>
      <c r="B83" s="1">
        <v>45170</v>
      </c>
      <c r="C83" t="s">
        <v>133</v>
      </c>
      <c r="D83" s="14">
        <v>50</v>
      </c>
      <c r="E83" s="21">
        <v>0</v>
      </c>
      <c r="F83" s="14">
        <f t="shared" si="1"/>
        <v>-50</v>
      </c>
      <c r="G83" t="s">
        <v>10</v>
      </c>
      <c r="H83" t="s">
        <v>31</v>
      </c>
      <c r="I83" t="s">
        <v>34</v>
      </c>
    </row>
    <row r="84" spans="1:9" x14ac:dyDescent="0.2">
      <c r="A84" t="s">
        <v>19</v>
      </c>
      <c r="B84" s="1">
        <v>45174</v>
      </c>
      <c r="C84" t="s">
        <v>133</v>
      </c>
      <c r="D84" s="14">
        <v>50</v>
      </c>
      <c r="E84" s="21">
        <v>0</v>
      </c>
      <c r="F84" s="14">
        <f t="shared" si="1"/>
        <v>-50</v>
      </c>
      <c r="G84" t="s">
        <v>10</v>
      </c>
      <c r="H84" t="s">
        <v>31</v>
      </c>
      <c r="I84" t="s">
        <v>34</v>
      </c>
    </row>
    <row r="85" spans="1:9" x14ac:dyDescent="0.2">
      <c r="A85" t="s">
        <v>19</v>
      </c>
      <c r="B85" s="1">
        <v>45184</v>
      </c>
      <c r="C85" t="s">
        <v>133</v>
      </c>
      <c r="D85" s="14">
        <v>48</v>
      </c>
      <c r="E85" s="21">
        <v>0</v>
      </c>
      <c r="F85" s="14">
        <f t="shared" si="1"/>
        <v>-48</v>
      </c>
      <c r="G85" t="s">
        <v>10</v>
      </c>
      <c r="H85" t="s">
        <v>31</v>
      </c>
      <c r="I85" t="s">
        <v>34</v>
      </c>
    </row>
    <row r="86" spans="1:9" x14ac:dyDescent="0.2">
      <c r="A86" t="s">
        <v>19</v>
      </c>
      <c r="B86" s="1">
        <v>45192</v>
      </c>
      <c r="C86" t="s">
        <v>133</v>
      </c>
      <c r="D86" s="14">
        <v>40.090000000000003</v>
      </c>
      <c r="E86" s="21">
        <v>0</v>
      </c>
      <c r="F86" s="14">
        <f t="shared" si="1"/>
        <v>-40.090000000000003</v>
      </c>
      <c r="G86" t="s">
        <v>10</v>
      </c>
      <c r="H86" t="s">
        <v>31</v>
      </c>
      <c r="I86" t="s">
        <v>34</v>
      </c>
    </row>
    <row r="87" spans="1:9" x14ac:dyDescent="0.2">
      <c r="A87" t="s">
        <v>19</v>
      </c>
      <c r="B87" s="1">
        <v>45197</v>
      </c>
      <c r="C87" t="s">
        <v>133</v>
      </c>
      <c r="D87" s="14">
        <v>40.090000000000003</v>
      </c>
      <c r="E87" s="21">
        <v>0</v>
      </c>
      <c r="F87" s="14">
        <f t="shared" si="1"/>
        <v>-40.090000000000003</v>
      </c>
      <c r="G87" t="s">
        <v>10</v>
      </c>
      <c r="H87" t="s">
        <v>31</v>
      </c>
      <c r="I87" t="s">
        <v>34</v>
      </c>
    </row>
    <row r="88" spans="1:9" x14ac:dyDescent="0.2">
      <c r="A88" t="s">
        <v>20</v>
      </c>
      <c r="B88" s="1">
        <v>45141</v>
      </c>
      <c r="C88" t="s">
        <v>131</v>
      </c>
      <c r="D88" s="14">
        <v>67.42</v>
      </c>
      <c r="E88" s="21">
        <v>0</v>
      </c>
      <c r="F88" s="14">
        <f t="shared" si="1"/>
        <v>-67.42</v>
      </c>
      <c r="G88" t="s">
        <v>10</v>
      </c>
      <c r="H88" t="s">
        <v>31</v>
      </c>
      <c r="I88" t="s">
        <v>34</v>
      </c>
    </row>
    <row r="89" spans="1:9" x14ac:dyDescent="0.2">
      <c r="A89" t="s">
        <v>19</v>
      </c>
      <c r="B89" s="1">
        <v>45152</v>
      </c>
      <c r="C89" t="s">
        <v>134</v>
      </c>
      <c r="D89" s="14">
        <v>7.77</v>
      </c>
      <c r="E89" s="21">
        <v>0</v>
      </c>
      <c r="F89" s="14">
        <f t="shared" si="1"/>
        <v>-7.77</v>
      </c>
      <c r="G89" t="s">
        <v>10</v>
      </c>
      <c r="H89" t="s">
        <v>31</v>
      </c>
      <c r="I89" t="s">
        <v>34</v>
      </c>
    </row>
    <row r="90" spans="1:9" x14ac:dyDescent="0.2">
      <c r="A90" t="s">
        <v>19</v>
      </c>
      <c r="B90" s="1">
        <v>45152</v>
      </c>
      <c r="C90" t="s">
        <v>133</v>
      </c>
      <c r="D90" s="14">
        <v>33.200000000000003</v>
      </c>
      <c r="E90" s="21">
        <v>0</v>
      </c>
      <c r="F90" s="14">
        <f t="shared" si="1"/>
        <v>-33.200000000000003</v>
      </c>
      <c r="G90" t="s">
        <v>10</v>
      </c>
      <c r="H90" t="s">
        <v>31</v>
      </c>
      <c r="I90" t="s">
        <v>34</v>
      </c>
    </row>
    <row r="91" spans="1:9" x14ac:dyDescent="0.2">
      <c r="A91" t="s">
        <v>19</v>
      </c>
      <c r="B91" s="1">
        <v>45152</v>
      </c>
      <c r="C91" t="s">
        <v>135</v>
      </c>
      <c r="D91" s="14">
        <v>50</v>
      </c>
      <c r="E91" s="21">
        <v>0</v>
      </c>
      <c r="F91" s="14">
        <f t="shared" si="1"/>
        <v>-50</v>
      </c>
      <c r="G91" t="s">
        <v>10</v>
      </c>
      <c r="H91" t="s">
        <v>31</v>
      </c>
      <c r="I91" t="s">
        <v>34</v>
      </c>
    </row>
    <row r="92" spans="1:9" x14ac:dyDescent="0.2">
      <c r="A92" t="s">
        <v>19</v>
      </c>
      <c r="B92" s="1">
        <v>45159</v>
      </c>
      <c r="C92" t="s">
        <v>136</v>
      </c>
      <c r="D92" s="14">
        <v>48.93</v>
      </c>
      <c r="E92" s="21">
        <v>0</v>
      </c>
      <c r="F92" s="14">
        <f t="shared" si="1"/>
        <v>-48.93</v>
      </c>
      <c r="G92" t="s">
        <v>10</v>
      </c>
      <c r="H92" t="s">
        <v>31</v>
      </c>
      <c r="I92" t="s">
        <v>34</v>
      </c>
    </row>
    <row r="93" spans="1:9" x14ac:dyDescent="0.2">
      <c r="A93" t="s">
        <v>19</v>
      </c>
      <c r="B93" s="1">
        <v>45161</v>
      </c>
      <c r="C93" t="s">
        <v>130</v>
      </c>
      <c r="D93" s="14">
        <v>58.2</v>
      </c>
      <c r="E93" s="21">
        <v>0</v>
      </c>
      <c r="F93" s="14">
        <f t="shared" si="1"/>
        <v>-58.2</v>
      </c>
      <c r="G93" t="s">
        <v>10</v>
      </c>
      <c r="H93" t="s">
        <v>31</v>
      </c>
      <c r="I93" t="s">
        <v>34</v>
      </c>
    </row>
    <row r="94" spans="1:9" x14ac:dyDescent="0.2">
      <c r="A94" t="s">
        <v>19</v>
      </c>
      <c r="B94" s="1">
        <v>45169</v>
      </c>
      <c r="C94" t="s">
        <v>130</v>
      </c>
      <c r="D94" s="14">
        <v>76.8</v>
      </c>
      <c r="E94" s="21">
        <v>0</v>
      </c>
      <c r="F94" s="14">
        <f t="shared" si="1"/>
        <v>-76.8</v>
      </c>
      <c r="G94" t="s">
        <v>10</v>
      </c>
      <c r="H94" t="s">
        <v>31</v>
      </c>
      <c r="I94" t="s">
        <v>34</v>
      </c>
    </row>
    <row r="95" spans="1:9" x14ac:dyDescent="0.2">
      <c r="A95" t="s">
        <v>19</v>
      </c>
      <c r="B95" s="1">
        <v>45185</v>
      </c>
      <c r="C95" t="s">
        <v>82</v>
      </c>
      <c r="D95" s="14">
        <v>0.54</v>
      </c>
      <c r="E95" s="21">
        <v>0</v>
      </c>
      <c r="F95" s="14">
        <f t="shared" si="1"/>
        <v>-0.54</v>
      </c>
      <c r="G95" t="s">
        <v>16</v>
      </c>
      <c r="H95" t="s">
        <v>23</v>
      </c>
      <c r="I95" t="s">
        <v>34</v>
      </c>
    </row>
    <row r="96" spans="1:9" x14ac:dyDescent="0.2">
      <c r="A96" t="s">
        <v>20</v>
      </c>
      <c r="B96" s="1">
        <v>45188</v>
      </c>
      <c r="C96" t="s">
        <v>83</v>
      </c>
      <c r="D96" s="14">
        <v>38.33</v>
      </c>
      <c r="E96" s="21">
        <v>0</v>
      </c>
      <c r="F96" s="14">
        <f t="shared" si="1"/>
        <v>-38.33</v>
      </c>
      <c r="G96" t="s">
        <v>16</v>
      </c>
      <c r="H96" t="s">
        <v>23</v>
      </c>
      <c r="I96" t="s">
        <v>34</v>
      </c>
    </row>
    <row r="97" spans="1:9" x14ac:dyDescent="0.2">
      <c r="A97" t="s">
        <v>19</v>
      </c>
      <c r="B97" s="1">
        <v>45150</v>
      </c>
      <c r="C97" t="s">
        <v>101</v>
      </c>
      <c r="D97" s="14">
        <v>1.93</v>
      </c>
      <c r="E97" s="21">
        <v>0</v>
      </c>
      <c r="F97" s="14">
        <f t="shared" si="1"/>
        <v>-1.93</v>
      </c>
      <c r="G97" t="s">
        <v>16</v>
      </c>
      <c r="H97" t="s">
        <v>23</v>
      </c>
      <c r="I97" t="s">
        <v>34</v>
      </c>
    </row>
    <row r="98" spans="1:9" x14ac:dyDescent="0.2">
      <c r="A98" t="s">
        <v>19</v>
      </c>
      <c r="B98" s="1">
        <v>45110</v>
      </c>
      <c r="C98" t="s">
        <v>137</v>
      </c>
      <c r="D98" s="14">
        <v>48.37</v>
      </c>
      <c r="E98" s="21">
        <v>0</v>
      </c>
      <c r="F98" s="14">
        <f t="shared" si="1"/>
        <v>-48.37</v>
      </c>
      <c r="G98" t="s">
        <v>16</v>
      </c>
      <c r="H98" t="s">
        <v>23</v>
      </c>
      <c r="I98" t="s">
        <v>34</v>
      </c>
    </row>
    <row r="99" spans="1:9" x14ac:dyDescent="0.2">
      <c r="A99" t="s">
        <v>19</v>
      </c>
      <c r="B99" s="1">
        <v>45142</v>
      </c>
      <c r="C99" t="s">
        <v>125</v>
      </c>
      <c r="D99" s="14">
        <v>20</v>
      </c>
      <c r="E99" s="21">
        <v>0</v>
      </c>
      <c r="F99" s="14">
        <f t="shared" si="1"/>
        <v>-20</v>
      </c>
      <c r="G99" t="s">
        <v>16</v>
      </c>
      <c r="H99" t="s">
        <v>23</v>
      </c>
      <c r="I99" t="s">
        <v>34</v>
      </c>
    </row>
    <row r="100" spans="1:9" x14ac:dyDescent="0.2">
      <c r="A100" t="s">
        <v>19</v>
      </c>
      <c r="B100" s="1">
        <v>45171</v>
      </c>
      <c r="C100" t="s">
        <v>93</v>
      </c>
      <c r="D100" s="14">
        <v>6.99</v>
      </c>
      <c r="E100" s="21">
        <v>0</v>
      </c>
      <c r="F100" s="14">
        <f t="shared" si="1"/>
        <v>-6.99</v>
      </c>
      <c r="G100" t="s">
        <v>35</v>
      </c>
      <c r="H100" t="s">
        <v>28</v>
      </c>
      <c r="I100" t="s">
        <v>34</v>
      </c>
    </row>
    <row r="101" spans="1:9" x14ac:dyDescent="0.2">
      <c r="A101" t="s">
        <v>19</v>
      </c>
      <c r="B101" s="1">
        <v>45173</v>
      </c>
      <c r="C101" t="s">
        <v>92</v>
      </c>
      <c r="D101" s="14">
        <v>24.97</v>
      </c>
      <c r="E101" s="21">
        <v>0</v>
      </c>
      <c r="F101" s="14">
        <f t="shared" si="1"/>
        <v>-24.97</v>
      </c>
      <c r="G101" t="s">
        <v>35</v>
      </c>
      <c r="H101" t="s">
        <v>28</v>
      </c>
      <c r="I101" t="s">
        <v>34</v>
      </c>
    </row>
    <row r="102" spans="1:9" x14ac:dyDescent="0.2">
      <c r="A102" t="s">
        <v>19</v>
      </c>
      <c r="B102" s="1">
        <v>45173</v>
      </c>
      <c r="C102" t="s">
        <v>94</v>
      </c>
      <c r="D102" s="14">
        <v>3.99</v>
      </c>
      <c r="E102" s="21">
        <v>0</v>
      </c>
      <c r="F102" s="14">
        <f t="shared" si="1"/>
        <v>-3.99</v>
      </c>
      <c r="G102" t="s">
        <v>35</v>
      </c>
      <c r="H102" t="s">
        <v>28</v>
      </c>
      <c r="I102" t="s">
        <v>34</v>
      </c>
    </row>
    <row r="103" spans="1:9" x14ac:dyDescent="0.2">
      <c r="A103" t="s">
        <v>19</v>
      </c>
      <c r="B103" s="1">
        <v>45173</v>
      </c>
      <c r="C103" t="s">
        <v>94</v>
      </c>
      <c r="D103" s="14">
        <v>17.84</v>
      </c>
      <c r="E103" s="21">
        <v>0</v>
      </c>
      <c r="F103" s="14">
        <f t="shared" si="1"/>
        <v>-17.84</v>
      </c>
      <c r="G103" t="s">
        <v>35</v>
      </c>
      <c r="H103" t="s">
        <v>28</v>
      </c>
      <c r="I103" t="s">
        <v>34</v>
      </c>
    </row>
    <row r="104" spans="1:9" x14ac:dyDescent="0.2">
      <c r="A104" t="s">
        <v>20</v>
      </c>
      <c r="B104" s="1">
        <v>45174</v>
      </c>
      <c r="C104" t="s">
        <v>95</v>
      </c>
      <c r="D104" s="14">
        <v>10</v>
      </c>
      <c r="E104" s="21">
        <v>0</v>
      </c>
      <c r="F104" s="14">
        <f t="shared" si="1"/>
        <v>-10</v>
      </c>
      <c r="G104" t="s">
        <v>35</v>
      </c>
      <c r="H104" t="s">
        <v>28</v>
      </c>
      <c r="I104" t="s">
        <v>34</v>
      </c>
    </row>
    <row r="105" spans="1:9" x14ac:dyDescent="0.2">
      <c r="A105" t="s">
        <v>19</v>
      </c>
      <c r="B105" s="1">
        <v>45176</v>
      </c>
      <c r="C105" t="s">
        <v>96</v>
      </c>
      <c r="D105" s="14">
        <v>17.47</v>
      </c>
      <c r="E105" s="21">
        <v>0</v>
      </c>
      <c r="F105" s="14">
        <f t="shared" si="1"/>
        <v>-17.47</v>
      </c>
      <c r="G105" t="s">
        <v>35</v>
      </c>
      <c r="H105" t="s">
        <v>28</v>
      </c>
      <c r="I105" t="s">
        <v>34</v>
      </c>
    </row>
    <row r="106" spans="1:9" x14ac:dyDescent="0.2">
      <c r="A106" t="s">
        <v>19</v>
      </c>
      <c r="B106" s="1">
        <v>45180</v>
      </c>
      <c r="C106" t="s">
        <v>94</v>
      </c>
      <c r="D106" s="14">
        <v>18.25</v>
      </c>
      <c r="E106" s="21">
        <v>0</v>
      </c>
      <c r="F106" s="14">
        <f t="shared" si="1"/>
        <v>-18.25</v>
      </c>
      <c r="G106" t="s">
        <v>35</v>
      </c>
      <c r="H106" t="s">
        <v>28</v>
      </c>
      <c r="I106" t="s">
        <v>34</v>
      </c>
    </row>
    <row r="107" spans="1:9" x14ac:dyDescent="0.2">
      <c r="A107" t="s">
        <v>19</v>
      </c>
      <c r="B107" s="1">
        <v>45180</v>
      </c>
      <c r="C107" t="s">
        <v>96</v>
      </c>
      <c r="D107" s="14">
        <v>20.47</v>
      </c>
      <c r="E107" s="21">
        <v>0</v>
      </c>
      <c r="F107" s="14">
        <f t="shared" si="1"/>
        <v>-20.47</v>
      </c>
      <c r="G107" t="s">
        <v>35</v>
      </c>
      <c r="H107" t="s">
        <v>28</v>
      </c>
      <c r="I107" t="s">
        <v>34</v>
      </c>
    </row>
    <row r="108" spans="1:9" x14ac:dyDescent="0.2">
      <c r="A108" t="s">
        <v>20</v>
      </c>
      <c r="B108" s="1">
        <v>45182</v>
      </c>
      <c r="C108" t="s">
        <v>83</v>
      </c>
      <c r="D108" s="14">
        <v>12.82</v>
      </c>
      <c r="E108" s="21">
        <v>0</v>
      </c>
      <c r="F108" s="14">
        <f t="shared" si="1"/>
        <v>-12.82</v>
      </c>
      <c r="G108" t="s">
        <v>35</v>
      </c>
      <c r="H108" t="s">
        <v>28</v>
      </c>
      <c r="I108" t="s">
        <v>34</v>
      </c>
    </row>
    <row r="109" spans="1:9" x14ac:dyDescent="0.2">
      <c r="A109" t="s">
        <v>19</v>
      </c>
      <c r="B109" s="1">
        <v>45187</v>
      </c>
      <c r="C109" t="s">
        <v>94</v>
      </c>
      <c r="D109" s="14">
        <v>16.45</v>
      </c>
      <c r="E109" s="21">
        <v>0</v>
      </c>
      <c r="F109" s="14">
        <f t="shared" si="1"/>
        <v>-16.45</v>
      </c>
      <c r="G109" t="s">
        <v>35</v>
      </c>
      <c r="H109" t="s">
        <v>28</v>
      </c>
      <c r="I109" t="s">
        <v>34</v>
      </c>
    </row>
    <row r="110" spans="1:9" x14ac:dyDescent="0.2">
      <c r="A110" t="s">
        <v>19</v>
      </c>
      <c r="B110" s="1">
        <v>45187</v>
      </c>
      <c r="C110" t="s">
        <v>97</v>
      </c>
      <c r="D110" s="14">
        <v>88.93</v>
      </c>
      <c r="E110" s="21">
        <v>0</v>
      </c>
      <c r="F110" s="14">
        <f t="shared" si="1"/>
        <v>-88.93</v>
      </c>
      <c r="G110" t="s">
        <v>35</v>
      </c>
      <c r="H110" t="s">
        <v>28</v>
      </c>
      <c r="I110" t="s">
        <v>34</v>
      </c>
    </row>
    <row r="111" spans="1:9" x14ac:dyDescent="0.2">
      <c r="A111" t="s">
        <v>20</v>
      </c>
      <c r="B111" s="1">
        <v>45187</v>
      </c>
      <c r="C111" t="s">
        <v>83</v>
      </c>
      <c r="D111" s="14">
        <v>91.17</v>
      </c>
      <c r="E111" s="21">
        <v>0</v>
      </c>
      <c r="F111" s="14">
        <f t="shared" si="1"/>
        <v>-91.17</v>
      </c>
      <c r="G111" t="s">
        <v>35</v>
      </c>
      <c r="H111" t="s">
        <v>28</v>
      </c>
      <c r="I111" t="s">
        <v>34</v>
      </c>
    </row>
    <row r="112" spans="1:9" x14ac:dyDescent="0.2">
      <c r="A112" t="s">
        <v>20</v>
      </c>
      <c r="B112" s="1">
        <v>45188</v>
      </c>
      <c r="C112" t="s">
        <v>83</v>
      </c>
      <c r="D112" s="14">
        <v>17.5</v>
      </c>
      <c r="E112" s="21">
        <v>0</v>
      </c>
      <c r="F112" s="14">
        <f t="shared" si="1"/>
        <v>-17.5</v>
      </c>
      <c r="G112" t="s">
        <v>35</v>
      </c>
      <c r="H112" t="s">
        <v>28</v>
      </c>
      <c r="I112" t="s">
        <v>34</v>
      </c>
    </row>
    <row r="113" spans="1:9" x14ac:dyDescent="0.2">
      <c r="A113" t="s">
        <v>20</v>
      </c>
      <c r="B113" s="1">
        <v>45191</v>
      </c>
      <c r="C113" t="s">
        <v>83</v>
      </c>
      <c r="D113" s="14">
        <v>54.29</v>
      </c>
      <c r="E113" s="21">
        <v>0</v>
      </c>
      <c r="F113" s="14">
        <f t="shared" si="1"/>
        <v>-54.29</v>
      </c>
      <c r="G113" t="s">
        <v>35</v>
      </c>
      <c r="H113" t="s">
        <v>28</v>
      </c>
      <c r="I113" t="s">
        <v>34</v>
      </c>
    </row>
    <row r="114" spans="1:9" x14ac:dyDescent="0.2">
      <c r="A114" t="s">
        <v>19</v>
      </c>
      <c r="B114" s="1">
        <v>45117</v>
      </c>
      <c r="C114" t="s">
        <v>92</v>
      </c>
      <c r="D114" s="14">
        <v>24.32</v>
      </c>
      <c r="E114" s="21">
        <v>0</v>
      </c>
      <c r="F114" s="14">
        <f t="shared" si="1"/>
        <v>-24.32</v>
      </c>
      <c r="G114" t="s">
        <v>35</v>
      </c>
      <c r="H114" t="s">
        <v>28</v>
      </c>
      <c r="I114" t="s">
        <v>34</v>
      </c>
    </row>
    <row r="115" spans="1:9" x14ac:dyDescent="0.2">
      <c r="A115" t="s">
        <v>19</v>
      </c>
      <c r="B115" s="1">
        <v>45117</v>
      </c>
      <c r="C115" t="s">
        <v>94</v>
      </c>
      <c r="D115" s="14">
        <v>13.46</v>
      </c>
      <c r="E115" s="21">
        <v>0</v>
      </c>
      <c r="F115" s="14">
        <f t="shared" si="1"/>
        <v>-13.46</v>
      </c>
      <c r="G115" t="s">
        <v>35</v>
      </c>
      <c r="H115" t="s">
        <v>28</v>
      </c>
      <c r="I115" t="s">
        <v>34</v>
      </c>
    </row>
    <row r="116" spans="1:9" x14ac:dyDescent="0.2">
      <c r="A116" t="s">
        <v>19</v>
      </c>
      <c r="B116" s="1">
        <v>45120</v>
      </c>
      <c r="C116" t="s">
        <v>138</v>
      </c>
      <c r="D116" s="14">
        <v>4.57</v>
      </c>
      <c r="E116" s="21">
        <v>0</v>
      </c>
      <c r="F116" s="14">
        <f t="shared" si="1"/>
        <v>-4.57</v>
      </c>
      <c r="G116" t="s">
        <v>35</v>
      </c>
      <c r="H116" t="s">
        <v>28</v>
      </c>
      <c r="I116" t="s">
        <v>34</v>
      </c>
    </row>
    <row r="117" spans="1:9" x14ac:dyDescent="0.2">
      <c r="A117" t="s">
        <v>19</v>
      </c>
      <c r="B117" s="1">
        <v>45121</v>
      </c>
      <c r="C117" t="s">
        <v>94</v>
      </c>
      <c r="D117" s="14">
        <v>17.23</v>
      </c>
      <c r="E117" s="21">
        <v>0</v>
      </c>
      <c r="F117" s="14">
        <f t="shared" si="1"/>
        <v>-17.23</v>
      </c>
      <c r="G117" t="s">
        <v>35</v>
      </c>
      <c r="H117" t="s">
        <v>28</v>
      </c>
      <c r="I117" t="s">
        <v>34</v>
      </c>
    </row>
    <row r="118" spans="1:9" x14ac:dyDescent="0.2">
      <c r="A118" t="s">
        <v>19</v>
      </c>
      <c r="B118" s="1">
        <v>45124</v>
      </c>
      <c r="C118" t="s">
        <v>94</v>
      </c>
      <c r="D118" s="14">
        <v>13.27</v>
      </c>
      <c r="E118" s="21">
        <v>0</v>
      </c>
      <c r="F118" s="14">
        <f t="shared" si="1"/>
        <v>-13.27</v>
      </c>
      <c r="G118" t="s">
        <v>35</v>
      </c>
      <c r="H118" t="s">
        <v>28</v>
      </c>
      <c r="I118" t="s">
        <v>34</v>
      </c>
    </row>
    <row r="119" spans="1:9" x14ac:dyDescent="0.2">
      <c r="A119" t="s">
        <v>19</v>
      </c>
      <c r="B119" s="1">
        <v>45124</v>
      </c>
      <c r="C119" t="s">
        <v>97</v>
      </c>
      <c r="D119" s="14">
        <v>66.56</v>
      </c>
      <c r="E119" s="21">
        <v>0</v>
      </c>
      <c r="F119" s="14">
        <f t="shared" si="1"/>
        <v>-66.56</v>
      </c>
      <c r="G119" t="s">
        <v>35</v>
      </c>
      <c r="H119" t="s">
        <v>28</v>
      </c>
      <c r="I119" t="s">
        <v>34</v>
      </c>
    </row>
    <row r="120" spans="1:9" x14ac:dyDescent="0.2">
      <c r="A120" t="s">
        <v>19</v>
      </c>
      <c r="B120" s="1">
        <v>45125</v>
      </c>
      <c r="C120" t="s">
        <v>139</v>
      </c>
      <c r="D120" s="14">
        <v>11.87</v>
      </c>
      <c r="E120" s="21">
        <v>0</v>
      </c>
      <c r="F120" s="14">
        <f t="shared" si="1"/>
        <v>-11.87</v>
      </c>
      <c r="G120" t="s">
        <v>35</v>
      </c>
      <c r="H120" t="s">
        <v>28</v>
      </c>
      <c r="I120" t="s">
        <v>34</v>
      </c>
    </row>
    <row r="121" spans="1:9" x14ac:dyDescent="0.2">
      <c r="A121" t="s">
        <v>19</v>
      </c>
      <c r="B121" s="1">
        <v>45127</v>
      </c>
      <c r="C121" t="s">
        <v>140</v>
      </c>
      <c r="D121" s="14">
        <v>5.79</v>
      </c>
      <c r="E121" s="21">
        <v>0</v>
      </c>
      <c r="F121" s="14">
        <f t="shared" si="1"/>
        <v>-5.79</v>
      </c>
      <c r="G121" t="s">
        <v>35</v>
      </c>
      <c r="H121" t="s">
        <v>28</v>
      </c>
      <c r="I121" t="s">
        <v>34</v>
      </c>
    </row>
    <row r="122" spans="1:9" x14ac:dyDescent="0.2">
      <c r="A122" t="s">
        <v>19</v>
      </c>
      <c r="B122" s="1">
        <v>45128</v>
      </c>
      <c r="C122" t="s">
        <v>94</v>
      </c>
      <c r="D122" s="14">
        <v>10.44</v>
      </c>
      <c r="E122" s="21">
        <v>0</v>
      </c>
      <c r="F122" s="14">
        <f t="shared" si="1"/>
        <v>-10.44</v>
      </c>
      <c r="G122" t="s">
        <v>35</v>
      </c>
      <c r="H122" t="s">
        <v>28</v>
      </c>
      <c r="I122" t="s">
        <v>34</v>
      </c>
    </row>
    <row r="123" spans="1:9" x14ac:dyDescent="0.2">
      <c r="A123" t="s">
        <v>19</v>
      </c>
      <c r="B123" s="1">
        <v>45131</v>
      </c>
      <c r="C123" t="s">
        <v>141</v>
      </c>
      <c r="D123" s="14">
        <v>33.81</v>
      </c>
      <c r="E123" s="21">
        <v>0</v>
      </c>
      <c r="F123" s="14">
        <f t="shared" si="1"/>
        <v>-33.81</v>
      </c>
      <c r="G123" t="s">
        <v>35</v>
      </c>
      <c r="H123" t="s">
        <v>28</v>
      </c>
      <c r="I123" t="s">
        <v>34</v>
      </c>
    </row>
    <row r="124" spans="1:9" x14ac:dyDescent="0.2">
      <c r="A124" t="s">
        <v>19</v>
      </c>
      <c r="B124" s="1">
        <v>45131</v>
      </c>
      <c r="C124" t="s">
        <v>94</v>
      </c>
      <c r="D124" s="14">
        <v>31.28</v>
      </c>
      <c r="E124" s="21">
        <v>0</v>
      </c>
      <c r="F124" s="14">
        <f t="shared" si="1"/>
        <v>-31.28</v>
      </c>
      <c r="G124" t="s">
        <v>35</v>
      </c>
      <c r="H124" t="s">
        <v>28</v>
      </c>
      <c r="I124" t="s">
        <v>34</v>
      </c>
    </row>
    <row r="125" spans="1:9" x14ac:dyDescent="0.2">
      <c r="A125" t="s">
        <v>19</v>
      </c>
      <c r="B125" s="1">
        <v>45131</v>
      </c>
      <c r="C125" t="s">
        <v>76</v>
      </c>
      <c r="D125" s="14">
        <v>47.75</v>
      </c>
      <c r="E125" s="21">
        <v>0</v>
      </c>
      <c r="F125" s="14">
        <f t="shared" si="1"/>
        <v>-47.75</v>
      </c>
      <c r="G125" t="s">
        <v>35</v>
      </c>
      <c r="H125" t="s">
        <v>28</v>
      </c>
      <c r="I125" t="s">
        <v>34</v>
      </c>
    </row>
    <row r="126" spans="1:9" x14ac:dyDescent="0.2">
      <c r="A126" t="s">
        <v>19</v>
      </c>
      <c r="B126" s="1">
        <v>45133</v>
      </c>
      <c r="C126" t="s">
        <v>94</v>
      </c>
      <c r="D126" s="14">
        <v>13.93</v>
      </c>
      <c r="E126" s="21">
        <v>0</v>
      </c>
      <c r="F126" s="14">
        <f t="shared" si="1"/>
        <v>-13.93</v>
      </c>
      <c r="G126" t="s">
        <v>35</v>
      </c>
      <c r="H126" t="s">
        <v>28</v>
      </c>
      <c r="I126" t="s">
        <v>34</v>
      </c>
    </row>
    <row r="127" spans="1:9" x14ac:dyDescent="0.2">
      <c r="A127" t="s">
        <v>19</v>
      </c>
      <c r="B127" s="1">
        <v>45135</v>
      </c>
      <c r="C127" t="s">
        <v>138</v>
      </c>
      <c r="D127" s="14">
        <v>25.31</v>
      </c>
      <c r="E127" s="21">
        <v>0</v>
      </c>
      <c r="F127" s="14">
        <f t="shared" si="1"/>
        <v>-25.31</v>
      </c>
      <c r="G127" t="s">
        <v>35</v>
      </c>
      <c r="H127" t="s">
        <v>28</v>
      </c>
      <c r="I127" t="s">
        <v>34</v>
      </c>
    </row>
    <row r="128" spans="1:9" x14ac:dyDescent="0.2">
      <c r="A128" t="s">
        <v>19</v>
      </c>
      <c r="B128" s="1">
        <v>45135</v>
      </c>
      <c r="C128" t="s">
        <v>93</v>
      </c>
      <c r="D128" s="14">
        <v>4.99</v>
      </c>
      <c r="E128" s="21">
        <v>0</v>
      </c>
      <c r="F128" s="14">
        <f t="shared" si="1"/>
        <v>-4.99</v>
      </c>
      <c r="G128" t="s">
        <v>35</v>
      </c>
      <c r="H128" t="s">
        <v>28</v>
      </c>
      <c r="I128" t="s">
        <v>34</v>
      </c>
    </row>
    <row r="129" spans="1:9" x14ac:dyDescent="0.2">
      <c r="A129" t="s">
        <v>19</v>
      </c>
      <c r="B129" s="1">
        <v>45135</v>
      </c>
      <c r="C129" t="s">
        <v>142</v>
      </c>
      <c r="D129" s="14">
        <v>6.49</v>
      </c>
      <c r="E129" s="21">
        <v>0</v>
      </c>
      <c r="F129" s="14">
        <f t="shared" si="1"/>
        <v>-6.49</v>
      </c>
      <c r="G129" t="s">
        <v>35</v>
      </c>
      <c r="H129" t="s">
        <v>28</v>
      </c>
      <c r="I129" t="s">
        <v>34</v>
      </c>
    </row>
    <row r="130" spans="1:9" x14ac:dyDescent="0.2">
      <c r="A130" t="s">
        <v>19</v>
      </c>
      <c r="B130" s="1">
        <v>45138</v>
      </c>
      <c r="C130" t="s">
        <v>143</v>
      </c>
      <c r="D130" s="14">
        <v>12.41</v>
      </c>
      <c r="E130" s="21">
        <v>0</v>
      </c>
      <c r="F130" s="14">
        <f t="shared" ref="F130:F193" si="2">E130-D130</f>
        <v>-12.41</v>
      </c>
      <c r="G130" t="s">
        <v>35</v>
      </c>
      <c r="H130" t="s">
        <v>28</v>
      </c>
      <c r="I130" t="s">
        <v>34</v>
      </c>
    </row>
    <row r="131" spans="1:9" x14ac:dyDescent="0.2">
      <c r="A131" t="s">
        <v>19</v>
      </c>
      <c r="B131" s="1">
        <v>45138</v>
      </c>
      <c r="C131" t="s">
        <v>94</v>
      </c>
      <c r="D131" s="14">
        <v>6.98</v>
      </c>
      <c r="E131" s="21">
        <v>0</v>
      </c>
      <c r="F131" s="14">
        <f t="shared" si="2"/>
        <v>-6.98</v>
      </c>
      <c r="G131" t="s">
        <v>35</v>
      </c>
      <c r="H131" t="s">
        <v>28</v>
      </c>
      <c r="I131" t="s">
        <v>34</v>
      </c>
    </row>
    <row r="132" spans="1:9" x14ac:dyDescent="0.2">
      <c r="A132" t="s">
        <v>19</v>
      </c>
      <c r="B132" s="1">
        <v>45138</v>
      </c>
      <c r="C132" t="s">
        <v>144</v>
      </c>
      <c r="D132" s="14">
        <v>5</v>
      </c>
      <c r="E132" s="21">
        <v>0</v>
      </c>
      <c r="F132" s="14">
        <f t="shared" si="2"/>
        <v>-5</v>
      </c>
      <c r="G132" t="s">
        <v>35</v>
      </c>
      <c r="H132" t="s">
        <v>28</v>
      </c>
      <c r="I132" t="s">
        <v>34</v>
      </c>
    </row>
    <row r="133" spans="1:9" x14ac:dyDescent="0.2">
      <c r="A133" t="s">
        <v>20</v>
      </c>
      <c r="B133" s="1">
        <v>45138</v>
      </c>
      <c r="C133" t="s">
        <v>83</v>
      </c>
      <c r="D133" s="14">
        <v>56.71</v>
      </c>
      <c r="E133" s="21">
        <v>0</v>
      </c>
      <c r="F133" s="14">
        <f t="shared" si="2"/>
        <v>-56.71</v>
      </c>
      <c r="G133" t="s">
        <v>35</v>
      </c>
      <c r="H133" t="s">
        <v>28</v>
      </c>
      <c r="I133" t="s">
        <v>34</v>
      </c>
    </row>
    <row r="134" spans="1:9" x14ac:dyDescent="0.2">
      <c r="A134" t="s">
        <v>19</v>
      </c>
      <c r="B134" s="1">
        <v>45143</v>
      </c>
      <c r="C134" t="s">
        <v>94</v>
      </c>
      <c r="D134" s="14">
        <v>41.47</v>
      </c>
      <c r="E134" s="21">
        <v>0</v>
      </c>
      <c r="F134" s="14">
        <f t="shared" si="2"/>
        <v>-41.47</v>
      </c>
      <c r="G134" t="s">
        <v>35</v>
      </c>
      <c r="H134" t="s">
        <v>28</v>
      </c>
      <c r="I134" t="s">
        <v>34</v>
      </c>
    </row>
    <row r="135" spans="1:9" x14ac:dyDescent="0.2">
      <c r="A135" t="s">
        <v>19</v>
      </c>
      <c r="B135" s="1">
        <v>45147</v>
      </c>
      <c r="C135" t="s">
        <v>93</v>
      </c>
      <c r="D135" s="14">
        <v>8.98</v>
      </c>
      <c r="E135" s="21">
        <v>0</v>
      </c>
      <c r="F135" s="14">
        <f t="shared" si="2"/>
        <v>-8.98</v>
      </c>
      <c r="G135" t="s">
        <v>35</v>
      </c>
      <c r="H135" t="s">
        <v>28</v>
      </c>
      <c r="I135" t="s">
        <v>34</v>
      </c>
    </row>
    <row r="136" spans="1:9" x14ac:dyDescent="0.2">
      <c r="A136" t="s">
        <v>19</v>
      </c>
      <c r="B136" s="1">
        <v>45148</v>
      </c>
      <c r="C136" t="s">
        <v>94</v>
      </c>
      <c r="D136" s="14">
        <v>23.41</v>
      </c>
      <c r="E136" s="21">
        <v>0</v>
      </c>
      <c r="F136" s="14">
        <f t="shared" si="2"/>
        <v>-23.41</v>
      </c>
      <c r="G136" t="s">
        <v>35</v>
      </c>
      <c r="H136" t="s">
        <v>28</v>
      </c>
      <c r="I136" t="s">
        <v>34</v>
      </c>
    </row>
    <row r="137" spans="1:9" x14ac:dyDescent="0.2">
      <c r="A137" t="s">
        <v>19</v>
      </c>
      <c r="B137" s="1">
        <v>45149</v>
      </c>
      <c r="C137" t="s">
        <v>96</v>
      </c>
      <c r="D137" s="14">
        <v>14.98</v>
      </c>
      <c r="E137" s="21">
        <v>0</v>
      </c>
      <c r="F137" s="14">
        <f t="shared" si="2"/>
        <v>-14.98</v>
      </c>
      <c r="G137" t="s">
        <v>35</v>
      </c>
      <c r="H137" t="s">
        <v>28</v>
      </c>
      <c r="I137" t="s">
        <v>34</v>
      </c>
    </row>
    <row r="138" spans="1:9" x14ac:dyDescent="0.2">
      <c r="A138" t="s">
        <v>19</v>
      </c>
      <c r="B138" s="1">
        <v>45152</v>
      </c>
      <c r="C138" t="s">
        <v>145</v>
      </c>
      <c r="D138" s="14">
        <v>0</v>
      </c>
      <c r="E138" s="21">
        <v>143.22</v>
      </c>
      <c r="F138" s="14">
        <f t="shared" si="2"/>
        <v>143.22</v>
      </c>
      <c r="G138" t="s">
        <v>35</v>
      </c>
      <c r="H138" t="s">
        <v>28</v>
      </c>
      <c r="I138" t="s">
        <v>34</v>
      </c>
    </row>
    <row r="139" spans="1:9" x14ac:dyDescent="0.2">
      <c r="A139" t="s">
        <v>19</v>
      </c>
      <c r="B139" s="1">
        <v>45154</v>
      </c>
      <c r="C139" t="s">
        <v>94</v>
      </c>
      <c r="D139" s="14">
        <v>3.99</v>
      </c>
      <c r="E139" s="21">
        <v>0</v>
      </c>
      <c r="F139" s="14">
        <f t="shared" si="2"/>
        <v>-3.99</v>
      </c>
      <c r="G139" t="s">
        <v>35</v>
      </c>
      <c r="H139" t="s">
        <v>28</v>
      </c>
      <c r="I139" t="s">
        <v>34</v>
      </c>
    </row>
    <row r="140" spans="1:9" x14ac:dyDescent="0.2">
      <c r="A140" t="s">
        <v>19</v>
      </c>
      <c r="B140" s="1">
        <v>45154</v>
      </c>
      <c r="C140" t="s">
        <v>94</v>
      </c>
      <c r="D140" s="14">
        <v>13.32</v>
      </c>
      <c r="E140" s="21">
        <v>0</v>
      </c>
      <c r="F140" s="14">
        <f t="shared" si="2"/>
        <v>-13.32</v>
      </c>
      <c r="G140" t="s">
        <v>35</v>
      </c>
      <c r="H140" t="s">
        <v>28</v>
      </c>
      <c r="I140" t="s">
        <v>34</v>
      </c>
    </row>
    <row r="141" spans="1:9" x14ac:dyDescent="0.2">
      <c r="A141" t="s">
        <v>19</v>
      </c>
      <c r="B141" s="1">
        <v>45155</v>
      </c>
      <c r="C141" t="s">
        <v>94</v>
      </c>
      <c r="D141" s="14">
        <v>12.47</v>
      </c>
      <c r="E141" s="21">
        <v>0</v>
      </c>
      <c r="F141" s="14">
        <f t="shared" si="2"/>
        <v>-12.47</v>
      </c>
      <c r="G141" t="s">
        <v>35</v>
      </c>
      <c r="H141" t="s">
        <v>28</v>
      </c>
      <c r="I141" t="s">
        <v>34</v>
      </c>
    </row>
    <row r="142" spans="1:9" x14ac:dyDescent="0.2">
      <c r="A142" t="s">
        <v>19</v>
      </c>
      <c r="B142" s="1">
        <v>45155</v>
      </c>
      <c r="C142" t="s">
        <v>146</v>
      </c>
      <c r="D142" s="14">
        <v>1.34</v>
      </c>
      <c r="E142" s="21">
        <v>0</v>
      </c>
      <c r="F142" s="14">
        <f t="shared" si="2"/>
        <v>-1.34</v>
      </c>
      <c r="G142" t="s">
        <v>35</v>
      </c>
      <c r="H142" t="s">
        <v>28</v>
      </c>
      <c r="I142" t="s">
        <v>34</v>
      </c>
    </row>
    <row r="143" spans="1:9" x14ac:dyDescent="0.2">
      <c r="A143" t="s">
        <v>19</v>
      </c>
      <c r="B143" s="1">
        <v>45155</v>
      </c>
      <c r="C143" t="s">
        <v>96</v>
      </c>
      <c r="D143" s="14">
        <v>17.47</v>
      </c>
      <c r="E143" s="21">
        <v>0</v>
      </c>
      <c r="F143" s="14">
        <f t="shared" si="2"/>
        <v>-17.47</v>
      </c>
      <c r="G143" t="s">
        <v>35</v>
      </c>
      <c r="H143" t="s">
        <v>28</v>
      </c>
      <c r="I143" t="s">
        <v>34</v>
      </c>
    </row>
    <row r="144" spans="1:9" x14ac:dyDescent="0.2">
      <c r="A144" t="s">
        <v>19</v>
      </c>
      <c r="B144" s="1">
        <v>45157</v>
      </c>
      <c r="C144" t="s">
        <v>94</v>
      </c>
      <c r="D144" s="14">
        <v>10.26</v>
      </c>
      <c r="E144" s="21">
        <v>0</v>
      </c>
      <c r="F144" s="14">
        <f t="shared" si="2"/>
        <v>-10.26</v>
      </c>
      <c r="G144" t="s">
        <v>35</v>
      </c>
      <c r="H144" t="s">
        <v>28</v>
      </c>
      <c r="I144" t="s">
        <v>34</v>
      </c>
    </row>
    <row r="145" spans="1:9" x14ac:dyDescent="0.2">
      <c r="A145" t="s">
        <v>19</v>
      </c>
      <c r="B145" s="1">
        <v>45159</v>
      </c>
      <c r="C145" t="s">
        <v>97</v>
      </c>
      <c r="D145" s="14">
        <v>85.58</v>
      </c>
      <c r="E145" s="21">
        <v>0</v>
      </c>
      <c r="F145" s="14">
        <f t="shared" si="2"/>
        <v>-85.58</v>
      </c>
      <c r="G145" t="s">
        <v>35</v>
      </c>
      <c r="H145" t="s">
        <v>28</v>
      </c>
      <c r="I145" t="s">
        <v>34</v>
      </c>
    </row>
    <row r="146" spans="1:9" x14ac:dyDescent="0.2">
      <c r="A146" t="s">
        <v>20</v>
      </c>
      <c r="B146" s="1">
        <v>45159</v>
      </c>
      <c r="C146" t="s">
        <v>83</v>
      </c>
      <c r="D146" s="14">
        <v>106.9</v>
      </c>
      <c r="E146" s="21">
        <v>0</v>
      </c>
      <c r="F146" s="14">
        <f t="shared" si="2"/>
        <v>-106.9</v>
      </c>
      <c r="G146" t="s">
        <v>35</v>
      </c>
      <c r="H146" t="s">
        <v>28</v>
      </c>
      <c r="I146" t="s">
        <v>34</v>
      </c>
    </row>
    <row r="147" spans="1:9" x14ac:dyDescent="0.2">
      <c r="A147" t="s">
        <v>20</v>
      </c>
      <c r="B147" s="1">
        <v>45189</v>
      </c>
      <c r="C147" t="s">
        <v>83</v>
      </c>
      <c r="D147" s="14">
        <v>106.9</v>
      </c>
      <c r="E147" s="21">
        <v>0</v>
      </c>
      <c r="F147" s="14">
        <f t="shared" si="2"/>
        <v>-106.9</v>
      </c>
      <c r="G147" t="s">
        <v>35</v>
      </c>
      <c r="H147" t="s">
        <v>28</v>
      </c>
      <c r="I147" t="s">
        <v>34</v>
      </c>
    </row>
    <row r="148" spans="1:9" x14ac:dyDescent="0.2">
      <c r="A148" t="s">
        <v>20</v>
      </c>
      <c r="B148" s="1">
        <v>45189</v>
      </c>
      <c r="C148" t="s">
        <v>83</v>
      </c>
      <c r="D148" s="14">
        <v>106.9</v>
      </c>
      <c r="E148" s="21">
        <v>0</v>
      </c>
      <c r="F148" s="14">
        <f t="shared" si="2"/>
        <v>-106.9</v>
      </c>
      <c r="G148" t="s">
        <v>35</v>
      </c>
      <c r="H148" t="s">
        <v>28</v>
      </c>
      <c r="I148" t="s">
        <v>34</v>
      </c>
    </row>
    <row r="149" spans="1:9" x14ac:dyDescent="0.2">
      <c r="A149" t="s">
        <v>19</v>
      </c>
      <c r="B149" s="1">
        <v>45160</v>
      </c>
      <c r="C149" t="s">
        <v>94</v>
      </c>
      <c r="D149" s="14">
        <v>23.23</v>
      </c>
      <c r="E149" s="21">
        <v>0</v>
      </c>
      <c r="F149" s="14">
        <f t="shared" si="2"/>
        <v>-23.23</v>
      </c>
      <c r="G149" t="s">
        <v>35</v>
      </c>
      <c r="H149" t="s">
        <v>28</v>
      </c>
      <c r="I149" t="s">
        <v>34</v>
      </c>
    </row>
    <row r="150" spans="1:9" x14ac:dyDescent="0.2">
      <c r="A150" t="s">
        <v>19</v>
      </c>
      <c r="B150" s="1">
        <v>45160</v>
      </c>
      <c r="C150" t="s">
        <v>93</v>
      </c>
      <c r="D150" s="14">
        <v>6.99</v>
      </c>
      <c r="E150" s="21">
        <v>0</v>
      </c>
      <c r="F150" s="14">
        <f t="shared" si="2"/>
        <v>-6.99</v>
      </c>
      <c r="G150" t="s">
        <v>35</v>
      </c>
      <c r="H150" t="s">
        <v>28</v>
      </c>
      <c r="I150" t="s">
        <v>34</v>
      </c>
    </row>
    <row r="151" spans="1:9" x14ac:dyDescent="0.2">
      <c r="A151" t="s">
        <v>19</v>
      </c>
      <c r="B151" s="1">
        <v>45163</v>
      </c>
      <c r="C151" t="s">
        <v>93</v>
      </c>
      <c r="D151" s="14">
        <v>17.98</v>
      </c>
      <c r="E151" s="21">
        <v>0</v>
      </c>
      <c r="F151" s="14">
        <f t="shared" si="2"/>
        <v>-17.98</v>
      </c>
      <c r="G151" t="s">
        <v>35</v>
      </c>
      <c r="H151" t="s">
        <v>28</v>
      </c>
      <c r="I151" t="s">
        <v>34</v>
      </c>
    </row>
    <row r="152" spans="1:9" x14ac:dyDescent="0.2">
      <c r="A152" t="s">
        <v>19</v>
      </c>
      <c r="B152" s="1">
        <v>45164</v>
      </c>
      <c r="C152" t="s">
        <v>94</v>
      </c>
      <c r="D152" s="14">
        <v>20.74</v>
      </c>
      <c r="E152" s="21">
        <v>0</v>
      </c>
      <c r="F152" s="14">
        <f t="shared" si="2"/>
        <v>-20.74</v>
      </c>
      <c r="G152" t="s">
        <v>35</v>
      </c>
      <c r="H152" t="s">
        <v>28</v>
      </c>
      <c r="I152" t="s">
        <v>34</v>
      </c>
    </row>
    <row r="153" spans="1:9" x14ac:dyDescent="0.2">
      <c r="A153" t="s">
        <v>19</v>
      </c>
      <c r="B153" s="1">
        <v>45164</v>
      </c>
      <c r="C153" t="s">
        <v>93</v>
      </c>
      <c r="D153" s="14">
        <v>5.29</v>
      </c>
      <c r="E153" s="21">
        <v>0</v>
      </c>
      <c r="F153" s="14">
        <f t="shared" si="2"/>
        <v>-5.29</v>
      </c>
      <c r="G153" t="s">
        <v>35</v>
      </c>
      <c r="H153" t="s">
        <v>28</v>
      </c>
      <c r="I153" t="s">
        <v>34</v>
      </c>
    </row>
    <row r="154" spans="1:9" x14ac:dyDescent="0.2">
      <c r="A154" t="s">
        <v>19</v>
      </c>
      <c r="B154" s="1">
        <v>45166</v>
      </c>
      <c r="C154" t="s">
        <v>94</v>
      </c>
      <c r="D154" s="14">
        <v>19.350000000000001</v>
      </c>
      <c r="E154" s="21">
        <v>0</v>
      </c>
      <c r="F154" s="14">
        <f t="shared" si="2"/>
        <v>-19.350000000000001</v>
      </c>
      <c r="G154" t="s">
        <v>35</v>
      </c>
      <c r="H154" t="s">
        <v>28</v>
      </c>
      <c r="I154" t="s">
        <v>34</v>
      </c>
    </row>
    <row r="155" spans="1:9" x14ac:dyDescent="0.2">
      <c r="A155" t="s">
        <v>19</v>
      </c>
      <c r="B155" s="1">
        <v>45166</v>
      </c>
      <c r="C155" t="s">
        <v>96</v>
      </c>
      <c r="D155" s="14">
        <v>25.97</v>
      </c>
      <c r="E155" s="21">
        <v>0</v>
      </c>
      <c r="F155" s="14">
        <f t="shared" si="2"/>
        <v>-25.97</v>
      </c>
      <c r="G155" t="s">
        <v>35</v>
      </c>
      <c r="H155" t="s">
        <v>28</v>
      </c>
      <c r="I155" t="s">
        <v>34</v>
      </c>
    </row>
    <row r="156" spans="1:9" x14ac:dyDescent="0.2">
      <c r="A156" t="s">
        <v>19</v>
      </c>
      <c r="B156" s="1">
        <v>45166</v>
      </c>
      <c r="C156" t="s">
        <v>94</v>
      </c>
      <c r="D156" s="14">
        <v>19.84</v>
      </c>
      <c r="E156" s="21">
        <v>0</v>
      </c>
      <c r="F156" s="14">
        <f t="shared" si="2"/>
        <v>-19.84</v>
      </c>
      <c r="G156" t="s">
        <v>35</v>
      </c>
      <c r="H156" t="s">
        <v>28</v>
      </c>
      <c r="I156" t="s">
        <v>34</v>
      </c>
    </row>
    <row r="157" spans="1:9" x14ac:dyDescent="0.2">
      <c r="A157" t="s">
        <v>19</v>
      </c>
      <c r="B157" s="1">
        <v>45167</v>
      </c>
      <c r="C157" t="s">
        <v>93</v>
      </c>
      <c r="D157" s="14">
        <v>6.99</v>
      </c>
      <c r="E157" s="21">
        <v>0</v>
      </c>
      <c r="F157" s="14">
        <f t="shared" si="2"/>
        <v>-6.99</v>
      </c>
      <c r="G157" t="s">
        <v>35</v>
      </c>
      <c r="H157" t="s">
        <v>28</v>
      </c>
      <c r="I157" t="s">
        <v>34</v>
      </c>
    </row>
    <row r="158" spans="1:9" x14ac:dyDescent="0.2">
      <c r="A158" t="s">
        <v>20</v>
      </c>
      <c r="B158" s="1">
        <v>45169</v>
      </c>
      <c r="C158" t="s">
        <v>83</v>
      </c>
      <c r="D158" s="14">
        <v>33.68</v>
      </c>
      <c r="E158" s="21">
        <v>0</v>
      </c>
      <c r="F158" s="14">
        <f t="shared" si="2"/>
        <v>-33.68</v>
      </c>
      <c r="G158" t="s">
        <v>35</v>
      </c>
      <c r="H158" t="s">
        <v>28</v>
      </c>
      <c r="I158" t="s">
        <v>34</v>
      </c>
    </row>
    <row r="159" spans="1:9" x14ac:dyDescent="0.2">
      <c r="A159" t="s">
        <v>20</v>
      </c>
      <c r="B159" s="1">
        <v>45110</v>
      </c>
      <c r="C159" t="s">
        <v>83</v>
      </c>
      <c r="D159" s="14">
        <v>8.5399999999999991</v>
      </c>
      <c r="E159" s="21">
        <v>0</v>
      </c>
      <c r="F159" s="14">
        <f t="shared" si="2"/>
        <v>-8.5399999999999991</v>
      </c>
      <c r="G159" t="s">
        <v>35</v>
      </c>
      <c r="H159" t="s">
        <v>28</v>
      </c>
      <c r="I159" t="s">
        <v>34</v>
      </c>
    </row>
    <row r="160" spans="1:9" x14ac:dyDescent="0.2">
      <c r="A160" t="s">
        <v>19</v>
      </c>
      <c r="B160" s="1">
        <v>45110</v>
      </c>
      <c r="C160" t="s">
        <v>152</v>
      </c>
      <c r="D160" s="14">
        <v>8.48</v>
      </c>
      <c r="E160" s="21">
        <v>0</v>
      </c>
      <c r="F160" s="14">
        <f t="shared" si="2"/>
        <v>-8.48</v>
      </c>
      <c r="G160" t="s">
        <v>35</v>
      </c>
      <c r="H160" t="s">
        <v>28</v>
      </c>
      <c r="I160" t="s">
        <v>34</v>
      </c>
    </row>
    <row r="161" spans="1:9" x14ac:dyDescent="0.2">
      <c r="A161" t="s">
        <v>19</v>
      </c>
      <c r="B161" s="1">
        <v>45110</v>
      </c>
      <c r="C161" t="s">
        <v>153</v>
      </c>
      <c r="D161" s="14">
        <v>8.57</v>
      </c>
      <c r="E161" s="21">
        <v>0</v>
      </c>
      <c r="F161" s="14">
        <f t="shared" si="2"/>
        <v>-8.57</v>
      </c>
      <c r="G161" t="s">
        <v>35</v>
      </c>
      <c r="H161" t="s">
        <v>28</v>
      </c>
      <c r="I161" t="s">
        <v>34</v>
      </c>
    </row>
    <row r="162" spans="1:9" x14ac:dyDescent="0.2">
      <c r="A162" t="s">
        <v>19</v>
      </c>
      <c r="B162" s="1">
        <v>45112</v>
      </c>
      <c r="C162" t="s">
        <v>153</v>
      </c>
      <c r="D162" s="14">
        <v>28.64</v>
      </c>
      <c r="E162" s="21">
        <v>0</v>
      </c>
      <c r="F162" s="14">
        <f t="shared" si="2"/>
        <v>-28.64</v>
      </c>
      <c r="G162" t="s">
        <v>35</v>
      </c>
      <c r="H162" t="s">
        <v>28</v>
      </c>
      <c r="I162" t="s">
        <v>34</v>
      </c>
    </row>
    <row r="163" spans="1:9" x14ac:dyDescent="0.2">
      <c r="A163" t="s">
        <v>20</v>
      </c>
      <c r="B163" s="1">
        <v>45117</v>
      </c>
      <c r="C163" t="s">
        <v>83</v>
      </c>
      <c r="D163" s="14">
        <v>2.82</v>
      </c>
      <c r="E163" s="21">
        <v>0</v>
      </c>
      <c r="F163" s="14">
        <f t="shared" si="2"/>
        <v>-2.82</v>
      </c>
      <c r="G163" t="s">
        <v>35</v>
      </c>
      <c r="H163" t="s">
        <v>28</v>
      </c>
      <c r="I163" t="s">
        <v>34</v>
      </c>
    </row>
    <row r="164" spans="1:9" x14ac:dyDescent="0.2">
      <c r="A164" t="s">
        <v>19</v>
      </c>
      <c r="B164" s="1">
        <v>45117</v>
      </c>
      <c r="C164" t="s">
        <v>154</v>
      </c>
      <c r="D164" s="14">
        <v>4.99</v>
      </c>
      <c r="E164" s="21">
        <v>0</v>
      </c>
      <c r="F164" s="14">
        <f t="shared" si="2"/>
        <v>-4.99</v>
      </c>
      <c r="G164" t="s">
        <v>35</v>
      </c>
      <c r="H164" t="s">
        <v>28</v>
      </c>
      <c r="I164" t="s">
        <v>34</v>
      </c>
    </row>
    <row r="165" spans="1:9" x14ac:dyDescent="0.2">
      <c r="A165" t="s">
        <v>19</v>
      </c>
      <c r="B165" s="1">
        <v>45120</v>
      </c>
      <c r="C165" t="s">
        <v>138</v>
      </c>
      <c r="D165" s="14">
        <v>24.12</v>
      </c>
      <c r="E165" s="21">
        <v>0</v>
      </c>
      <c r="F165" s="14">
        <f t="shared" si="2"/>
        <v>-24.12</v>
      </c>
      <c r="G165" t="s">
        <v>35</v>
      </c>
      <c r="H165" t="s">
        <v>28</v>
      </c>
      <c r="I165" t="s">
        <v>34</v>
      </c>
    </row>
    <row r="166" spans="1:9" x14ac:dyDescent="0.2">
      <c r="A166" t="s">
        <v>20</v>
      </c>
      <c r="B166" s="1">
        <v>45124</v>
      </c>
      <c r="C166" t="s">
        <v>83</v>
      </c>
      <c r="D166" s="14">
        <v>6.43</v>
      </c>
      <c r="E166" s="21">
        <v>0</v>
      </c>
      <c r="F166" s="14">
        <f t="shared" si="2"/>
        <v>-6.43</v>
      </c>
      <c r="G166" t="s">
        <v>35</v>
      </c>
      <c r="H166" t="s">
        <v>28</v>
      </c>
      <c r="I166" t="s">
        <v>34</v>
      </c>
    </row>
    <row r="167" spans="1:9" x14ac:dyDescent="0.2">
      <c r="A167" t="s">
        <v>19</v>
      </c>
      <c r="B167" s="1">
        <v>45124</v>
      </c>
      <c r="C167" t="s">
        <v>155</v>
      </c>
      <c r="D167" s="14">
        <v>13.4</v>
      </c>
      <c r="E167" s="21">
        <v>0</v>
      </c>
      <c r="F167" s="14">
        <f t="shared" si="2"/>
        <v>-13.4</v>
      </c>
      <c r="G167" t="s">
        <v>35</v>
      </c>
      <c r="H167" t="s">
        <v>28</v>
      </c>
      <c r="I167" t="s">
        <v>34</v>
      </c>
    </row>
    <row r="168" spans="1:9" x14ac:dyDescent="0.2">
      <c r="A168" t="s">
        <v>19</v>
      </c>
      <c r="B168" s="1">
        <v>45125</v>
      </c>
      <c r="C168" t="s">
        <v>139</v>
      </c>
      <c r="D168" s="14">
        <v>10.89</v>
      </c>
      <c r="E168" s="21">
        <v>0</v>
      </c>
      <c r="F168" s="14">
        <f t="shared" si="2"/>
        <v>-10.89</v>
      </c>
      <c r="G168" t="s">
        <v>35</v>
      </c>
      <c r="H168" t="s">
        <v>28</v>
      </c>
      <c r="I168" t="s">
        <v>34</v>
      </c>
    </row>
    <row r="169" spans="1:9" x14ac:dyDescent="0.2">
      <c r="A169" t="s">
        <v>19</v>
      </c>
      <c r="B169" s="1">
        <v>45125</v>
      </c>
      <c r="C169" t="s">
        <v>156</v>
      </c>
      <c r="D169" s="14">
        <v>17.149999999999999</v>
      </c>
      <c r="E169" s="21">
        <v>0</v>
      </c>
      <c r="F169" s="14">
        <f t="shared" si="2"/>
        <v>-17.149999999999999</v>
      </c>
      <c r="G169" t="s">
        <v>35</v>
      </c>
      <c r="H169" t="s">
        <v>28</v>
      </c>
      <c r="I169" t="s">
        <v>34</v>
      </c>
    </row>
    <row r="170" spans="1:9" x14ac:dyDescent="0.2">
      <c r="A170" t="s">
        <v>19</v>
      </c>
      <c r="B170" s="1">
        <v>45126</v>
      </c>
      <c r="C170" t="s">
        <v>157</v>
      </c>
      <c r="D170" s="14">
        <v>8.0299999999999994</v>
      </c>
      <c r="E170" s="21">
        <v>0</v>
      </c>
      <c r="F170" s="14">
        <f t="shared" si="2"/>
        <v>-8.0299999999999994</v>
      </c>
      <c r="G170" t="s">
        <v>35</v>
      </c>
      <c r="H170" t="s">
        <v>28</v>
      </c>
      <c r="I170" t="s">
        <v>34</v>
      </c>
    </row>
    <row r="171" spans="1:9" x14ac:dyDescent="0.2">
      <c r="A171" t="s">
        <v>20</v>
      </c>
      <c r="B171" s="1">
        <v>45131</v>
      </c>
      <c r="C171" t="s">
        <v>83</v>
      </c>
      <c r="D171" s="14">
        <v>7.23</v>
      </c>
      <c r="E171" s="21">
        <v>0</v>
      </c>
      <c r="F171" s="14">
        <f t="shared" si="2"/>
        <v>-7.23</v>
      </c>
      <c r="G171" t="s">
        <v>35</v>
      </c>
      <c r="H171" t="s">
        <v>28</v>
      </c>
      <c r="I171" t="s">
        <v>34</v>
      </c>
    </row>
    <row r="172" spans="1:9" x14ac:dyDescent="0.2">
      <c r="A172" t="s">
        <v>19</v>
      </c>
      <c r="B172" s="1">
        <v>45135</v>
      </c>
      <c r="C172" t="s">
        <v>138</v>
      </c>
      <c r="D172" s="14">
        <v>4.97</v>
      </c>
      <c r="E172" s="21">
        <v>0</v>
      </c>
      <c r="F172" s="14">
        <f t="shared" si="2"/>
        <v>-4.97</v>
      </c>
      <c r="G172" t="s">
        <v>35</v>
      </c>
      <c r="H172" t="s">
        <v>28</v>
      </c>
      <c r="I172" t="s">
        <v>34</v>
      </c>
    </row>
    <row r="173" spans="1:9" x14ac:dyDescent="0.2">
      <c r="A173" t="s">
        <v>19</v>
      </c>
      <c r="B173" s="1">
        <v>45171</v>
      </c>
      <c r="C173" t="s">
        <v>78</v>
      </c>
      <c r="D173" s="14">
        <v>19.309999999999999</v>
      </c>
      <c r="E173" s="21">
        <v>0</v>
      </c>
      <c r="F173" s="14">
        <f t="shared" si="2"/>
        <v>-19.309999999999999</v>
      </c>
      <c r="G173" t="s">
        <v>14</v>
      </c>
      <c r="H173" t="s">
        <v>23</v>
      </c>
      <c r="I173" t="s">
        <v>34</v>
      </c>
    </row>
    <row r="174" spans="1:9" x14ac:dyDescent="0.2">
      <c r="A174" t="s">
        <v>19</v>
      </c>
      <c r="B174" s="1">
        <v>45187</v>
      </c>
      <c r="C174" t="s">
        <v>78</v>
      </c>
      <c r="D174" s="14">
        <v>112</v>
      </c>
      <c r="E174" s="21">
        <v>0</v>
      </c>
      <c r="F174" s="14">
        <f t="shared" si="2"/>
        <v>-112</v>
      </c>
      <c r="G174" t="s">
        <v>14</v>
      </c>
      <c r="H174" t="s">
        <v>23</v>
      </c>
      <c r="I174" t="s">
        <v>34</v>
      </c>
    </row>
    <row r="175" spans="1:9" x14ac:dyDescent="0.2">
      <c r="A175" t="s">
        <v>19</v>
      </c>
      <c r="B175" s="1">
        <v>45190</v>
      </c>
      <c r="C175" t="s">
        <v>79</v>
      </c>
      <c r="D175" s="14">
        <v>57.5</v>
      </c>
      <c r="E175" s="21">
        <v>0</v>
      </c>
      <c r="F175" s="14">
        <f t="shared" si="2"/>
        <v>-57.5</v>
      </c>
      <c r="G175" t="s">
        <v>14</v>
      </c>
      <c r="H175" t="s">
        <v>23</v>
      </c>
      <c r="I175" t="s">
        <v>34</v>
      </c>
    </row>
    <row r="176" spans="1:9" x14ac:dyDescent="0.2">
      <c r="A176" t="s">
        <v>19</v>
      </c>
      <c r="B176" s="1">
        <v>45117</v>
      </c>
      <c r="C176" t="s">
        <v>78</v>
      </c>
      <c r="D176" s="14">
        <v>3.22</v>
      </c>
      <c r="E176" s="21">
        <v>0</v>
      </c>
      <c r="F176" s="14">
        <f t="shared" si="2"/>
        <v>-3.22</v>
      </c>
      <c r="G176" t="s">
        <v>14</v>
      </c>
      <c r="H176" t="s">
        <v>23</v>
      </c>
      <c r="I176" t="s">
        <v>34</v>
      </c>
    </row>
    <row r="177" spans="1:9" x14ac:dyDescent="0.2">
      <c r="A177" t="s">
        <v>19</v>
      </c>
      <c r="B177" s="1">
        <v>45124</v>
      </c>
      <c r="C177" t="s">
        <v>78</v>
      </c>
      <c r="D177" s="14">
        <v>112</v>
      </c>
      <c r="E177" s="21">
        <v>0</v>
      </c>
      <c r="F177" s="14">
        <f t="shared" si="2"/>
        <v>-112</v>
      </c>
      <c r="G177" t="s">
        <v>14</v>
      </c>
      <c r="H177" t="s">
        <v>23</v>
      </c>
      <c r="I177" t="s">
        <v>34</v>
      </c>
    </row>
    <row r="178" spans="1:9" x14ac:dyDescent="0.2">
      <c r="A178" t="s">
        <v>19</v>
      </c>
      <c r="B178" s="1">
        <v>45128</v>
      </c>
      <c r="C178" t="s">
        <v>79</v>
      </c>
      <c r="D178" s="14">
        <v>57.5</v>
      </c>
      <c r="E178" s="21">
        <v>0</v>
      </c>
      <c r="F178" s="14">
        <f t="shared" si="2"/>
        <v>-57.5</v>
      </c>
      <c r="G178" t="s">
        <v>14</v>
      </c>
      <c r="H178" t="s">
        <v>23</v>
      </c>
      <c r="I178" t="s">
        <v>34</v>
      </c>
    </row>
    <row r="179" spans="1:9" x14ac:dyDescent="0.2">
      <c r="A179" t="s">
        <v>19</v>
      </c>
      <c r="B179" s="1">
        <v>45152</v>
      </c>
      <c r="C179" t="s">
        <v>147</v>
      </c>
      <c r="D179" s="14">
        <v>21</v>
      </c>
      <c r="E179" s="21">
        <v>0</v>
      </c>
      <c r="F179" s="14">
        <f t="shared" si="2"/>
        <v>-21</v>
      </c>
      <c r="G179" t="s">
        <v>14</v>
      </c>
      <c r="H179" t="s">
        <v>23</v>
      </c>
      <c r="I179" t="s">
        <v>34</v>
      </c>
    </row>
    <row r="180" spans="1:9" x14ac:dyDescent="0.2">
      <c r="A180" t="s">
        <v>19</v>
      </c>
      <c r="B180" s="1">
        <v>45159</v>
      </c>
      <c r="C180" t="s">
        <v>79</v>
      </c>
      <c r="D180" s="14">
        <v>57.5</v>
      </c>
      <c r="E180" s="21">
        <v>0</v>
      </c>
      <c r="F180" s="14">
        <f t="shared" si="2"/>
        <v>-57.5</v>
      </c>
      <c r="G180" t="s">
        <v>14</v>
      </c>
      <c r="H180" t="s">
        <v>23</v>
      </c>
      <c r="I180" t="s">
        <v>34</v>
      </c>
    </row>
    <row r="181" spans="1:9" x14ac:dyDescent="0.2">
      <c r="A181" t="s">
        <v>19</v>
      </c>
      <c r="B181" s="1">
        <v>45178</v>
      </c>
      <c r="C181" t="s">
        <v>66</v>
      </c>
      <c r="D181" s="14">
        <v>30</v>
      </c>
      <c r="E181" s="21">
        <v>0</v>
      </c>
      <c r="F181" s="14">
        <f t="shared" si="2"/>
        <v>-30</v>
      </c>
      <c r="G181" t="s">
        <v>32</v>
      </c>
      <c r="H181" t="s">
        <v>28</v>
      </c>
      <c r="I181" t="s">
        <v>34</v>
      </c>
    </row>
    <row r="182" spans="1:9" x14ac:dyDescent="0.2">
      <c r="A182" t="s">
        <v>19</v>
      </c>
      <c r="B182" s="1">
        <v>45124</v>
      </c>
      <c r="C182" t="s">
        <v>66</v>
      </c>
      <c r="D182" s="14">
        <v>26</v>
      </c>
      <c r="E182" s="21">
        <v>0</v>
      </c>
      <c r="F182" s="14">
        <f t="shared" si="2"/>
        <v>-26</v>
      </c>
      <c r="G182" t="s">
        <v>32</v>
      </c>
      <c r="H182" t="s">
        <v>28</v>
      </c>
      <c r="I182" t="s">
        <v>34</v>
      </c>
    </row>
    <row r="183" spans="1:9" x14ac:dyDescent="0.2">
      <c r="A183" t="s">
        <v>19</v>
      </c>
      <c r="B183" s="1">
        <v>45141</v>
      </c>
      <c r="C183" t="s">
        <v>148</v>
      </c>
      <c r="D183" s="14">
        <v>25</v>
      </c>
      <c r="E183" s="21">
        <v>0</v>
      </c>
      <c r="F183" s="14">
        <f t="shared" si="2"/>
        <v>-25</v>
      </c>
      <c r="G183" t="s">
        <v>32</v>
      </c>
      <c r="H183" t="s">
        <v>28</v>
      </c>
      <c r="I183" t="s">
        <v>34</v>
      </c>
    </row>
    <row r="184" spans="1:9" x14ac:dyDescent="0.2">
      <c r="A184" t="s">
        <v>19</v>
      </c>
      <c r="B184" s="1">
        <v>45114</v>
      </c>
      <c r="C184" t="s">
        <v>65</v>
      </c>
      <c r="D184" s="14">
        <v>2.17</v>
      </c>
      <c r="E184" s="21">
        <v>0</v>
      </c>
      <c r="F184" s="14">
        <f t="shared" si="2"/>
        <v>-2.17</v>
      </c>
      <c r="G184" t="s">
        <v>12</v>
      </c>
      <c r="H184" t="s">
        <v>28</v>
      </c>
      <c r="I184" t="s">
        <v>34</v>
      </c>
    </row>
    <row r="185" spans="1:9" x14ac:dyDescent="0.2">
      <c r="A185" t="s">
        <v>19</v>
      </c>
      <c r="B185" s="1">
        <v>45129</v>
      </c>
      <c r="C185" t="s">
        <v>158</v>
      </c>
      <c r="D185" s="14">
        <v>79.73</v>
      </c>
      <c r="E185" s="21">
        <v>0</v>
      </c>
      <c r="F185" s="14">
        <f t="shared" si="2"/>
        <v>-79.73</v>
      </c>
      <c r="G185" t="s">
        <v>12</v>
      </c>
      <c r="H185" t="s">
        <v>28</v>
      </c>
      <c r="I185" t="s">
        <v>34</v>
      </c>
    </row>
    <row r="186" spans="1:9" x14ac:dyDescent="0.2">
      <c r="A186" t="s">
        <v>19</v>
      </c>
      <c r="B186" s="1">
        <v>45145</v>
      </c>
      <c r="C186" t="s">
        <v>65</v>
      </c>
      <c r="D186" s="14">
        <v>2.2000000000000002</v>
      </c>
      <c r="E186" s="21">
        <v>0</v>
      </c>
      <c r="F186" s="14">
        <f t="shared" si="2"/>
        <v>-2.2000000000000002</v>
      </c>
      <c r="G186" t="s">
        <v>12</v>
      </c>
      <c r="H186" t="s">
        <v>28</v>
      </c>
      <c r="I186" t="s">
        <v>34</v>
      </c>
    </row>
    <row r="187" spans="1:9" x14ac:dyDescent="0.2">
      <c r="A187" t="s">
        <v>19</v>
      </c>
      <c r="B187" s="1">
        <v>45145</v>
      </c>
      <c r="C187" t="s">
        <v>65</v>
      </c>
      <c r="D187" s="14">
        <v>2.2000000000000002</v>
      </c>
      <c r="E187" s="21">
        <v>0</v>
      </c>
      <c r="F187" s="14">
        <f t="shared" si="2"/>
        <v>-2.2000000000000002</v>
      </c>
      <c r="G187" t="s">
        <v>12</v>
      </c>
      <c r="H187" t="s">
        <v>28</v>
      </c>
      <c r="I187" t="s">
        <v>34</v>
      </c>
    </row>
    <row r="188" spans="1:9" x14ac:dyDescent="0.2">
      <c r="A188" t="s">
        <v>19</v>
      </c>
      <c r="B188" s="1">
        <v>45160</v>
      </c>
      <c r="C188" t="s">
        <v>158</v>
      </c>
      <c r="D188" s="14">
        <v>69.989999999999995</v>
      </c>
      <c r="E188" s="21">
        <v>0</v>
      </c>
      <c r="F188" s="14">
        <f t="shared" si="2"/>
        <v>-69.989999999999995</v>
      </c>
      <c r="G188" t="s">
        <v>12</v>
      </c>
      <c r="H188" t="s">
        <v>28</v>
      </c>
      <c r="I188" t="s">
        <v>34</v>
      </c>
    </row>
    <row r="189" spans="1:9" x14ac:dyDescent="0.2">
      <c r="A189" t="s">
        <v>19</v>
      </c>
      <c r="B189" s="1">
        <v>45191</v>
      </c>
      <c r="C189" t="s">
        <v>158</v>
      </c>
      <c r="D189" s="14">
        <v>69.989999999999995</v>
      </c>
      <c r="E189" s="21">
        <v>0</v>
      </c>
      <c r="F189" s="14">
        <f t="shared" si="2"/>
        <v>-69.989999999999995</v>
      </c>
      <c r="G189" t="s">
        <v>12</v>
      </c>
      <c r="H189" t="s">
        <v>28</v>
      </c>
      <c r="I189" t="s">
        <v>34</v>
      </c>
    </row>
    <row r="190" spans="1:9" x14ac:dyDescent="0.2">
      <c r="A190" t="s">
        <v>19</v>
      </c>
      <c r="B190" s="1">
        <v>45182</v>
      </c>
      <c r="C190" t="s">
        <v>67</v>
      </c>
      <c r="D190" s="14">
        <v>17.600000000000001</v>
      </c>
      <c r="E190" s="21">
        <v>0</v>
      </c>
      <c r="F190" s="14">
        <f t="shared" si="2"/>
        <v>-17.600000000000001</v>
      </c>
      <c r="G190" t="s">
        <v>29</v>
      </c>
      <c r="H190" t="s">
        <v>24</v>
      </c>
      <c r="I190" t="s">
        <v>34</v>
      </c>
    </row>
    <row r="191" spans="1:9" x14ac:dyDescent="0.2">
      <c r="A191" t="s">
        <v>19</v>
      </c>
      <c r="B191" s="1">
        <v>45139</v>
      </c>
      <c r="C191" t="s">
        <v>88</v>
      </c>
      <c r="D191" s="14">
        <v>25</v>
      </c>
      <c r="E191" s="21">
        <v>0</v>
      </c>
      <c r="F191" s="14">
        <f t="shared" si="2"/>
        <v>-25</v>
      </c>
      <c r="G191" t="s">
        <v>29</v>
      </c>
      <c r="H191" t="s">
        <v>24</v>
      </c>
      <c r="I191" t="s">
        <v>34</v>
      </c>
    </row>
    <row r="192" spans="1:9" x14ac:dyDescent="0.2">
      <c r="A192" t="s">
        <v>19</v>
      </c>
      <c r="B192" s="1">
        <v>45160</v>
      </c>
      <c r="C192" t="s">
        <v>89</v>
      </c>
      <c r="D192" s="14">
        <v>30.5</v>
      </c>
      <c r="E192" s="21">
        <v>0</v>
      </c>
      <c r="F192" s="14">
        <f t="shared" si="2"/>
        <v>-30.5</v>
      </c>
      <c r="G192" t="s">
        <v>29</v>
      </c>
      <c r="H192" t="s">
        <v>24</v>
      </c>
      <c r="I192" t="s">
        <v>34</v>
      </c>
    </row>
    <row r="193" spans="1:9" x14ac:dyDescent="0.2">
      <c r="A193" t="s">
        <v>19</v>
      </c>
      <c r="B193" s="1">
        <v>45189</v>
      </c>
      <c r="C193" t="s">
        <v>90</v>
      </c>
      <c r="D193" s="14">
        <v>30.5</v>
      </c>
      <c r="E193" s="21">
        <v>0</v>
      </c>
      <c r="F193" s="14">
        <f t="shared" si="2"/>
        <v>-30.5</v>
      </c>
      <c r="G193" t="s">
        <v>29</v>
      </c>
      <c r="H193" t="s">
        <v>24</v>
      </c>
      <c r="I193" t="s">
        <v>34</v>
      </c>
    </row>
    <row r="194" spans="1:9" x14ac:dyDescent="0.2">
      <c r="A194" t="s">
        <v>19</v>
      </c>
      <c r="B194" s="1">
        <v>45108</v>
      </c>
      <c r="C194" t="s">
        <v>149</v>
      </c>
      <c r="D194" s="14">
        <v>54</v>
      </c>
      <c r="E194" s="21">
        <v>0</v>
      </c>
      <c r="F194" s="14">
        <f t="shared" ref="F194:F251" si="3">E194-D194</f>
        <v>-54</v>
      </c>
      <c r="G194" t="s">
        <v>29</v>
      </c>
      <c r="H194" t="s">
        <v>24</v>
      </c>
      <c r="I194" t="s">
        <v>34</v>
      </c>
    </row>
    <row r="195" spans="1:9" x14ac:dyDescent="0.2">
      <c r="A195" t="s">
        <v>20</v>
      </c>
      <c r="B195" s="1">
        <v>45124</v>
      </c>
      <c r="C195" t="s">
        <v>169</v>
      </c>
      <c r="D195" s="14">
        <v>9.98</v>
      </c>
      <c r="E195" s="21">
        <v>0</v>
      </c>
      <c r="F195" s="14">
        <f t="shared" si="3"/>
        <v>-9.98</v>
      </c>
      <c r="G195" t="s">
        <v>29</v>
      </c>
      <c r="H195" t="s">
        <v>24</v>
      </c>
      <c r="I195" t="s">
        <v>34</v>
      </c>
    </row>
    <row r="196" spans="1:9" x14ac:dyDescent="0.2">
      <c r="A196" t="s">
        <v>19</v>
      </c>
      <c r="B196" s="1">
        <v>45127</v>
      </c>
      <c r="C196" t="s">
        <v>170</v>
      </c>
      <c r="D196" s="14">
        <v>30.5</v>
      </c>
      <c r="E196" s="21">
        <v>0</v>
      </c>
      <c r="F196" s="14">
        <f t="shared" si="3"/>
        <v>-30.5</v>
      </c>
      <c r="G196" t="s">
        <v>29</v>
      </c>
      <c r="H196" t="s">
        <v>24</v>
      </c>
      <c r="I196" t="s">
        <v>34</v>
      </c>
    </row>
    <row r="197" spans="1:9" x14ac:dyDescent="0.2">
      <c r="A197" t="s">
        <v>19</v>
      </c>
      <c r="B197" s="1">
        <v>45187</v>
      </c>
      <c r="C197" t="s">
        <v>98</v>
      </c>
      <c r="D197" s="14">
        <v>1</v>
      </c>
      <c r="E197" s="21">
        <v>0</v>
      </c>
      <c r="F197" s="14">
        <f t="shared" si="3"/>
        <v>-1</v>
      </c>
      <c r="G197" t="s">
        <v>8</v>
      </c>
      <c r="H197" t="s">
        <v>31</v>
      </c>
      <c r="I197" t="s">
        <v>34</v>
      </c>
    </row>
    <row r="198" spans="1:9" x14ac:dyDescent="0.2">
      <c r="A198" t="s">
        <v>19</v>
      </c>
      <c r="B198" s="1">
        <v>45188</v>
      </c>
      <c r="C198" t="s">
        <v>99</v>
      </c>
      <c r="D198" s="14">
        <v>5</v>
      </c>
      <c r="E198" s="21">
        <v>0</v>
      </c>
      <c r="F198" s="14">
        <f t="shared" si="3"/>
        <v>-5</v>
      </c>
      <c r="G198" t="s">
        <v>8</v>
      </c>
      <c r="H198" t="s">
        <v>31</v>
      </c>
      <c r="I198" t="s">
        <v>34</v>
      </c>
    </row>
    <row r="199" spans="1:9" x14ac:dyDescent="0.2">
      <c r="A199" t="s">
        <v>20</v>
      </c>
      <c r="B199" s="1">
        <v>45114</v>
      </c>
      <c r="C199" t="s">
        <v>159</v>
      </c>
      <c r="D199" s="14">
        <v>8</v>
      </c>
      <c r="E199" s="21">
        <v>0</v>
      </c>
      <c r="F199" s="14">
        <f t="shared" si="3"/>
        <v>-8</v>
      </c>
      <c r="G199" t="s">
        <v>8</v>
      </c>
      <c r="H199" t="s">
        <v>31</v>
      </c>
      <c r="I199" t="s">
        <v>34</v>
      </c>
    </row>
    <row r="200" spans="1:9" x14ac:dyDescent="0.2">
      <c r="A200" t="s">
        <v>19</v>
      </c>
      <c r="B200" s="1">
        <v>45117</v>
      </c>
      <c r="C200" t="s">
        <v>98</v>
      </c>
      <c r="D200" s="14">
        <v>1</v>
      </c>
      <c r="E200" s="21">
        <v>0</v>
      </c>
      <c r="F200" s="14">
        <f t="shared" si="3"/>
        <v>-1</v>
      </c>
      <c r="G200" t="s">
        <v>8</v>
      </c>
      <c r="H200" t="s">
        <v>31</v>
      </c>
      <c r="I200" t="s">
        <v>34</v>
      </c>
    </row>
    <row r="201" spans="1:9" x14ac:dyDescent="0.2">
      <c r="A201" t="s">
        <v>19</v>
      </c>
      <c r="B201" s="1">
        <v>45120</v>
      </c>
      <c r="C201" t="s">
        <v>98</v>
      </c>
      <c r="D201" s="14">
        <v>1</v>
      </c>
      <c r="E201" s="21">
        <v>0</v>
      </c>
      <c r="F201" s="14">
        <f t="shared" si="3"/>
        <v>-1</v>
      </c>
      <c r="G201" t="s">
        <v>8</v>
      </c>
      <c r="H201" t="s">
        <v>31</v>
      </c>
      <c r="I201" t="s">
        <v>34</v>
      </c>
    </row>
    <row r="202" spans="1:9" x14ac:dyDescent="0.2">
      <c r="A202" t="s">
        <v>19</v>
      </c>
      <c r="B202" s="1">
        <v>45122</v>
      </c>
      <c r="C202" t="s">
        <v>98</v>
      </c>
      <c r="D202" s="14">
        <v>1.5</v>
      </c>
      <c r="E202" s="21">
        <v>0</v>
      </c>
      <c r="F202" s="14">
        <f t="shared" si="3"/>
        <v>-1.5</v>
      </c>
      <c r="G202" t="s">
        <v>8</v>
      </c>
      <c r="H202" t="s">
        <v>31</v>
      </c>
      <c r="I202" t="s">
        <v>34</v>
      </c>
    </row>
    <row r="203" spans="1:9" x14ac:dyDescent="0.2">
      <c r="A203" t="s">
        <v>19</v>
      </c>
      <c r="B203" s="1">
        <v>45141</v>
      </c>
      <c r="C203" t="s">
        <v>98</v>
      </c>
      <c r="D203" s="14">
        <v>1.5</v>
      </c>
      <c r="E203" s="21">
        <v>0</v>
      </c>
      <c r="F203" s="14">
        <f t="shared" si="3"/>
        <v>-1.5</v>
      </c>
      <c r="G203" t="s">
        <v>8</v>
      </c>
      <c r="H203" t="s">
        <v>31</v>
      </c>
      <c r="I203" t="s">
        <v>34</v>
      </c>
    </row>
    <row r="204" spans="1:9" x14ac:dyDescent="0.2">
      <c r="A204" t="s">
        <v>19</v>
      </c>
      <c r="B204" s="1">
        <v>45152</v>
      </c>
      <c r="C204" t="s">
        <v>160</v>
      </c>
      <c r="D204" s="14">
        <v>0.88</v>
      </c>
      <c r="E204" s="21">
        <v>0</v>
      </c>
      <c r="F204" s="14">
        <f t="shared" si="3"/>
        <v>-0.88</v>
      </c>
      <c r="G204" t="s">
        <v>8</v>
      </c>
      <c r="H204" t="s">
        <v>31</v>
      </c>
      <c r="I204" t="s">
        <v>34</v>
      </c>
    </row>
    <row r="205" spans="1:9" x14ac:dyDescent="0.2">
      <c r="A205" t="s">
        <v>19</v>
      </c>
      <c r="B205" s="1">
        <v>45156</v>
      </c>
      <c r="C205" t="s">
        <v>98</v>
      </c>
      <c r="D205" s="14">
        <v>0.5</v>
      </c>
      <c r="E205" s="21">
        <v>0</v>
      </c>
      <c r="F205" s="14">
        <f t="shared" si="3"/>
        <v>-0.5</v>
      </c>
      <c r="G205" t="s">
        <v>8</v>
      </c>
      <c r="H205" t="s">
        <v>31</v>
      </c>
      <c r="I205" t="s">
        <v>34</v>
      </c>
    </row>
    <row r="206" spans="1:9" x14ac:dyDescent="0.2">
      <c r="A206" t="s">
        <v>20</v>
      </c>
      <c r="B206" s="1">
        <v>45170</v>
      </c>
      <c r="C206" t="s">
        <v>61</v>
      </c>
      <c r="D206" s="14">
        <v>52</v>
      </c>
      <c r="E206" s="21">
        <v>0</v>
      </c>
      <c r="F206" s="14">
        <f t="shared" si="3"/>
        <v>-52</v>
      </c>
      <c r="G206" t="s">
        <v>11</v>
      </c>
      <c r="H206" t="s">
        <v>28</v>
      </c>
      <c r="I206" t="s">
        <v>34</v>
      </c>
    </row>
    <row r="207" spans="1:9" x14ac:dyDescent="0.2">
      <c r="A207" t="s">
        <v>19</v>
      </c>
      <c r="B207" s="1">
        <v>45166</v>
      </c>
      <c r="C207" t="s">
        <v>151</v>
      </c>
      <c r="D207" s="14">
        <v>41.51</v>
      </c>
      <c r="E207" s="21">
        <v>0</v>
      </c>
      <c r="F207" s="14">
        <f t="shared" si="3"/>
        <v>-41.51</v>
      </c>
      <c r="G207" t="s">
        <v>11</v>
      </c>
      <c r="H207" t="s">
        <v>28</v>
      </c>
      <c r="I207" t="s">
        <v>34</v>
      </c>
    </row>
    <row r="208" spans="1:9" x14ac:dyDescent="0.2">
      <c r="A208" t="s">
        <v>20</v>
      </c>
      <c r="B208" s="1">
        <v>45110</v>
      </c>
      <c r="C208" t="s">
        <v>61</v>
      </c>
      <c r="D208" s="14">
        <v>52</v>
      </c>
      <c r="E208" s="21">
        <v>0</v>
      </c>
      <c r="F208" s="14">
        <f t="shared" si="3"/>
        <v>-52</v>
      </c>
      <c r="G208" t="s">
        <v>11</v>
      </c>
      <c r="H208" t="s">
        <v>28</v>
      </c>
      <c r="I208" t="s">
        <v>34</v>
      </c>
    </row>
    <row r="209" spans="1:9" x14ac:dyDescent="0.2">
      <c r="A209" t="s">
        <v>19</v>
      </c>
      <c r="B209" s="1">
        <v>45136</v>
      </c>
      <c r="C209" t="s">
        <v>151</v>
      </c>
      <c r="D209" s="14">
        <v>41.51</v>
      </c>
      <c r="E209" s="21">
        <v>0</v>
      </c>
      <c r="F209" s="14">
        <f t="shared" si="3"/>
        <v>-41.51</v>
      </c>
      <c r="G209" t="s">
        <v>11</v>
      </c>
      <c r="H209" t="s">
        <v>28</v>
      </c>
      <c r="I209" t="s">
        <v>34</v>
      </c>
    </row>
    <row r="210" spans="1:9" x14ac:dyDescent="0.2">
      <c r="A210" t="s">
        <v>20</v>
      </c>
      <c r="B210" s="1">
        <v>45138</v>
      </c>
      <c r="C210" t="s">
        <v>61</v>
      </c>
      <c r="D210" s="14">
        <v>52</v>
      </c>
      <c r="E210" s="21">
        <v>0</v>
      </c>
      <c r="F210" s="14">
        <f t="shared" si="3"/>
        <v>-52</v>
      </c>
      <c r="G210" t="s">
        <v>11</v>
      </c>
      <c r="H210" t="s">
        <v>28</v>
      </c>
      <c r="I210" t="s">
        <v>34</v>
      </c>
    </row>
    <row r="211" spans="1:9" x14ac:dyDescent="0.2">
      <c r="A211" t="s">
        <v>20</v>
      </c>
      <c r="B211" s="1">
        <v>45174</v>
      </c>
      <c r="C211" t="s">
        <v>80</v>
      </c>
      <c r="D211" s="14">
        <v>1000</v>
      </c>
      <c r="E211" s="21">
        <v>0</v>
      </c>
      <c r="F211" s="14">
        <f t="shared" si="3"/>
        <v>-1000</v>
      </c>
      <c r="G211" t="s">
        <v>27</v>
      </c>
      <c r="H211" t="s">
        <v>28</v>
      </c>
      <c r="I211" t="s">
        <v>34</v>
      </c>
    </row>
    <row r="212" spans="1:9" x14ac:dyDescent="0.2">
      <c r="A212" t="s">
        <v>20</v>
      </c>
      <c r="B212" s="1">
        <v>45112</v>
      </c>
      <c r="C212" t="s">
        <v>80</v>
      </c>
      <c r="D212" s="14">
        <v>1000</v>
      </c>
      <c r="E212" s="21">
        <v>0</v>
      </c>
      <c r="F212" s="14">
        <f t="shared" si="3"/>
        <v>-1000</v>
      </c>
      <c r="G212" t="s">
        <v>27</v>
      </c>
      <c r="H212" t="s">
        <v>28</v>
      </c>
      <c r="I212" t="s">
        <v>34</v>
      </c>
    </row>
    <row r="213" spans="1:9" x14ac:dyDescent="0.2">
      <c r="A213" t="s">
        <v>20</v>
      </c>
      <c r="B213" s="1">
        <v>45140</v>
      </c>
      <c r="C213" t="s">
        <v>80</v>
      </c>
      <c r="D213" s="14">
        <v>1000</v>
      </c>
      <c r="E213" s="21">
        <v>0</v>
      </c>
      <c r="F213" s="14">
        <f t="shared" si="3"/>
        <v>-1000</v>
      </c>
      <c r="G213" t="s">
        <v>27</v>
      </c>
      <c r="H213" t="s">
        <v>28</v>
      </c>
      <c r="I213" t="s">
        <v>34</v>
      </c>
    </row>
    <row r="214" spans="1:9" x14ac:dyDescent="0.2">
      <c r="A214" t="s">
        <v>20</v>
      </c>
      <c r="B214" s="1">
        <v>45174</v>
      </c>
      <c r="C214" t="s">
        <v>87</v>
      </c>
      <c r="D214" s="14">
        <v>98.2</v>
      </c>
      <c r="E214" s="21">
        <v>0</v>
      </c>
      <c r="F214" s="14">
        <f t="shared" si="3"/>
        <v>-98.2</v>
      </c>
      <c r="G214" t="s">
        <v>50</v>
      </c>
      <c r="H214" t="s">
        <v>28</v>
      </c>
      <c r="I214" t="s">
        <v>34</v>
      </c>
    </row>
    <row r="215" spans="1:9" x14ac:dyDescent="0.2">
      <c r="A215" t="s">
        <v>20</v>
      </c>
      <c r="B215" s="1">
        <v>45187</v>
      </c>
      <c r="C215" t="s">
        <v>87</v>
      </c>
      <c r="D215" s="14">
        <v>98.19</v>
      </c>
      <c r="E215" s="21">
        <v>0</v>
      </c>
      <c r="F215" s="14">
        <f t="shared" si="3"/>
        <v>-98.19</v>
      </c>
      <c r="G215" t="s">
        <v>50</v>
      </c>
      <c r="H215" t="s">
        <v>28</v>
      </c>
      <c r="I215" t="s">
        <v>34</v>
      </c>
    </row>
    <row r="216" spans="1:9" x14ac:dyDescent="0.2">
      <c r="A216" t="s">
        <v>20</v>
      </c>
      <c r="B216" s="1">
        <v>45112</v>
      </c>
      <c r="C216" t="s">
        <v>87</v>
      </c>
      <c r="D216" s="14">
        <v>89.32</v>
      </c>
      <c r="E216" s="21">
        <v>0</v>
      </c>
      <c r="F216" s="14">
        <f t="shared" si="3"/>
        <v>-89.32</v>
      </c>
      <c r="G216" t="s">
        <v>50</v>
      </c>
      <c r="H216" t="s">
        <v>28</v>
      </c>
      <c r="I216" t="s">
        <v>34</v>
      </c>
    </row>
    <row r="217" spans="1:9" x14ac:dyDescent="0.2">
      <c r="A217" t="s">
        <v>20</v>
      </c>
      <c r="B217" s="1">
        <v>45123</v>
      </c>
      <c r="C217" t="s">
        <v>87</v>
      </c>
      <c r="D217" s="14">
        <v>89.28</v>
      </c>
      <c r="E217" s="21">
        <v>0</v>
      </c>
      <c r="F217" s="14">
        <f t="shared" si="3"/>
        <v>-89.28</v>
      </c>
      <c r="G217" t="s">
        <v>50</v>
      </c>
      <c r="H217" t="s">
        <v>28</v>
      </c>
      <c r="I217" t="s">
        <v>34</v>
      </c>
    </row>
    <row r="218" spans="1:9" x14ac:dyDescent="0.2">
      <c r="A218" t="s">
        <v>20</v>
      </c>
      <c r="B218" s="1">
        <v>45154</v>
      </c>
      <c r="C218" t="s">
        <v>87</v>
      </c>
      <c r="D218" s="14">
        <v>89.28</v>
      </c>
      <c r="E218" s="21">
        <v>0</v>
      </c>
      <c r="F218" s="14">
        <f t="shared" si="3"/>
        <v>-89.28</v>
      </c>
      <c r="G218" t="s">
        <v>50</v>
      </c>
      <c r="H218" t="s">
        <v>28</v>
      </c>
      <c r="I218" t="s">
        <v>34</v>
      </c>
    </row>
    <row r="219" spans="1:9" x14ac:dyDescent="0.2">
      <c r="A219" t="s">
        <v>20</v>
      </c>
      <c r="B219" s="1">
        <v>45143</v>
      </c>
      <c r="C219" t="s">
        <v>87</v>
      </c>
      <c r="D219" s="14">
        <v>89.28</v>
      </c>
      <c r="E219" s="21">
        <v>0</v>
      </c>
      <c r="F219" s="14">
        <f t="shared" si="3"/>
        <v>-89.28</v>
      </c>
      <c r="G219" t="s">
        <v>50</v>
      </c>
      <c r="H219" t="s">
        <v>28</v>
      </c>
      <c r="I219" t="s">
        <v>34</v>
      </c>
    </row>
    <row r="220" spans="1:9" x14ac:dyDescent="0.2">
      <c r="A220" t="s">
        <v>20</v>
      </c>
      <c r="B220" s="1">
        <v>45184</v>
      </c>
      <c r="C220" t="s">
        <v>59</v>
      </c>
      <c r="E220" s="21">
        <v>2550.61</v>
      </c>
      <c r="F220" s="14">
        <f t="shared" si="3"/>
        <v>2550.61</v>
      </c>
      <c r="G220" t="s">
        <v>25</v>
      </c>
      <c r="H220" t="s">
        <v>25</v>
      </c>
      <c r="I220" t="s">
        <v>17</v>
      </c>
    </row>
    <row r="221" spans="1:9" x14ac:dyDescent="0.2">
      <c r="A221" t="s">
        <v>20</v>
      </c>
      <c r="B221" s="1">
        <v>45114</v>
      </c>
      <c r="C221" t="s">
        <v>59</v>
      </c>
      <c r="E221" s="21">
        <v>1898.03</v>
      </c>
      <c r="F221" s="14">
        <f t="shared" si="3"/>
        <v>1898.03</v>
      </c>
      <c r="G221" t="s">
        <v>25</v>
      </c>
      <c r="H221" t="s">
        <v>25</v>
      </c>
      <c r="I221" t="s">
        <v>17</v>
      </c>
    </row>
    <row r="222" spans="1:9" x14ac:dyDescent="0.2">
      <c r="A222" t="s">
        <v>20</v>
      </c>
      <c r="B222" s="1">
        <v>45128</v>
      </c>
      <c r="C222" t="s">
        <v>59</v>
      </c>
      <c r="E222" s="21">
        <v>1898.02</v>
      </c>
      <c r="F222" s="14">
        <f t="shared" si="3"/>
        <v>1898.02</v>
      </c>
      <c r="G222" t="s">
        <v>25</v>
      </c>
      <c r="H222" t="s">
        <v>25</v>
      </c>
      <c r="I222" t="s">
        <v>17</v>
      </c>
    </row>
    <row r="223" spans="1:9" x14ac:dyDescent="0.2">
      <c r="A223" t="s">
        <v>20</v>
      </c>
      <c r="B223" s="1">
        <v>45142</v>
      </c>
      <c r="C223" t="s">
        <v>59</v>
      </c>
      <c r="E223" s="21">
        <v>2550.62</v>
      </c>
      <c r="F223" s="14">
        <f t="shared" si="3"/>
        <v>2550.62</v>
      </c>
      <c r="G223" t="s">
        <v>25</v>
      </c>
      <c r="H223" t="s">
        <v>25</v>
      </c>
      <c r="I223" t="s">
        <v>17</v>
      </c>
    </row>
    <row r="224" spans="1:9" x14ac:dyDescent="0.2">
      <c r="A224" t="s">
        <v>20</v>
      </c>
      <c r="B224" s="1">
        <v>45156</v>
      </c>
      <c r="C224" t="s">
        <v>59</v>
      </c>
      <c r="E224" s="21">
        <v>2550.61</v>
      </c>
      <c r="F224" s="14">
        <f t="shared" si="3"/>
        <v>2550.61</v>
      </c>
      <c r="G224" t="s">
        <v>25</v>
      </c>
      <c r="H224" t="s">
        <v>25</v>
      </c>
      <c r="I224" t="s">
        <v>17</v>
      </c>
    </row>
    <row r="225" spans="1:9" x14ac:dyDescent="0.2">
      <c r="A225" t="s">
        <v>20</v>
      </c>
      <c r="B225" s="1">
        <v>45170</v>
      </c>
      <c r="C225" t="s">
        <v>59</v>
      </c>
      <c r="E225" s="21">
        <v>2550.61</v>
      </c>
      <c r="F225" s="14">
        <f t="shared" si="3"/>
        <v>2550.61</v>
      </c>
      <c r="G225" t="s">
        <v>25</v>
      </c>
      <c r="H225" t="s">
        <v>25</v>
      </c>
      <c r="I225" t="s">
        <v>17</v>
      </c>
    </row>
    <row r="226" spans="1:9" x14ac:dyDescent="0.2">
      <c r="A226" t="s">
        <v>19</v>
      </c>
      <c r="B226" s="1">
        <v>45113</v>
      </c>
      <c r="C226" t="s">
        <v>62</v>
      </c>
      <c r="D226">
        <v>1.99</v>
      </c>
      <c r="E226" s="21">
        <v>0</v>
      </c>
      <c r="F226" s="14">
        <f t="shared" si="3"/>
        <v>-1.99</v>
      </c>
      <c r="G226" t="s">
        <v>33</v>
      </c>
      <c r="H226" t="s">
        <v>28</v>
      </c>
      <c r="I226" t="s">
        <v>34</v>
      </c>
    </row>
    <row r="227" spans="1:9" x14ac:dyDescent="0.2">
      <c r="A227" t="s">
        <v>19</v>
      </c>
      <c r="B227" s="1">
        <v>45122</v>
      </c>
      <c r="C227" t="s">
        <v>63</v>
      </c>
      <c r="D227">
        <v>6.99</v>
      </c>
      <c r="E227" s="21">
        <v>0</v>
      </c>
      <c r="F227" s="14">
        <f t="shared" si="3"/>
        <v>-6.99</v>
      </c>
      <c r="G227" t="s">
        <v>33</v>
      </c>
      <c r="H227" t="s">
        <v>28</v>
      </c>
      <c r="I227" t="s">
        <v>34</v>
      </c>
    </row>
    <row r="228" spans="1:9" x14ac:dyDescent="0.2">
      <c r="A228" t="s">
        <v>19</v>
      </c>
      <c r="B228" s="1">
        <v>45131</v>
      </c>
      <c r="C228" t="s">
        <v>64</v>
      </c>
      <c r="D228">
        <v>10.71</v>
      </c>
      <c r="E228" s="21">
        <v>0</v>
      </c>
      <c r="F228" s="14">
        <f t="shared" si="3"/>
        <v>-10.71</v>
      </c>
      <c r="G228" t="s">
        <v>33</v>
      </c>
      <c r="H228" t="s">
        <v>28</v>
      </c>
      <c r="I228" t="s">
        <v>34</v>
      </c>
    </row>
    <row r="229" spans="1:9" x14ac:dyDescent="0.2">
      <c r="A229" t="s">
        <v>19</v>
      </c>
      <c r="B229" s="1">
        <v>45138</v>
      </c>
      <c r="C229" t="s">
        <v>62</v>
      </c>
      <c r="D229">
        <v>2.99</v>
      </c>
      <c r="E229" s="21">
        <v>0</v>
      </c>
      <c r="F229" s="14">
        <f t="shared" si="3"/>
        <v>-2.99</v>
      </c>
      <c r="G229" t="s">
        <v>33</v>
      </c>
      <c r="H229" t="s">
        <v>28</v>
      </c>
      <c r="I229" t="s">
        <v>34</v>
      </c>
    </row>
    <row r="230" spans="1:9" x14ac:dyDescent="0.2">
      <c r="A230" t="s">
        <v>19</v>
      </c>
      <c r="B230" s="1">
        <v>45142</v>
      </c>
      <c r="C230" t="s">
        <v>62</v>
      </c>
      <c r="D230">
        <v>1.99</v>
      </c>
      <c r="E230" s="21">
        <v>0</v>
      </c>
      <c r="F230" s="14">
        <f t="shared" si="3"/>
        <v>-1.99</v>
      </c>
      <c r="G230" t="s">
        <v>33</v>
      </c>
      <c r="H230" t="s">
        <v>28</v>
      </c>
      <c r="I230" t="s">
        <v>34</v>
      </c>
    </row>
    <row r="231" spans="1:9" x14ac:dyDescent="0.2">
      <c r="A231" t="s">
        <v>19</v>
      </c>
      <c r="B231" s="1">
        <v>45154</v>
      </c>
      <c r="C231" t="s">
        <v>63</v>
      </c>
      <c r="D231">
        <v>6.99</v>
      </c>
      <c r="E231" s="21">
        <v>0</v>
      </c>
      <c r="F231" s="14">
        <f t="shared" si="3"/>
        <v>-6.99</v>
      </c>
      <c r="G231" t="s">
        <v>33</v>
      </c>
      <c r="H231" t="s">
        <v>28</v>
      </c>
      <c r="I231" t="s">
        <v>34</v>
      </c>
    </row>
    <row r="232" spans="1:9" x14ac:dyDescent="0.2">
      <c r="A232" t="s">
        <v>19</v>
      </c>
      <c r="B232" s="1">
        <v>45159</v>
      </c>
      <c r="C232" t="s">
        <v>64</v>
      </c>
      <c r="D232">
        <v>1.06</v>
      </c>
      <c r="E232" s="21">
        <v>0</v>
      </c>
      <c r="F232" s="14">
        <f t="shared" si="3"/>
        <v>-1.06</v>
      </c>
      <c r="G232" t="s">
        <v>33</v>
      </c>
      <c r="H232" t="s">
        <v>28</v>
      </c>
      <c r="I232" t="s">
        <v>34</v>
      </c>
    </row>
    <row r="233" spans="1:9" x14ac:dyDescent="0.2">
      <c r="A233" t="s">
        <v>19</v>
      </c>
      <c r="B233" s="1">
        <v>45176</v>
      </c>
      <c r="C233" t="s">
        <v>65</v>
      </c>
      <c r="D233">
        <v>2.15</v>
      </c>
      <c r="E233" s="21">
        <v>0</v>
      </c>
      <c r="F233" s="14">
        <f t="shared" si="3"/>
        <v>-2.15</v>
      </c>
      <c r="G233" t="s">
        <v>33</v>
      </c>
      <c r="H233" t="s">
        <v>28</v>
      </c>
      <c r="I233" t="s">
        <v>34</v>
      </c>
    </row>
    <row r="234" spans="1:9" x14ac:dyDescent="0.2">
      <c r="A234" t="s">
        <v>19</v>
      </c>
      <c r="B234" s="1">
        <v>45185</v>
      </c>
      <c r="C234" t="s">
        <v>63</v>
      </c>
      <c r="D234">
        <v>6.99</v>
      </c>
      <c r="E234" s="21">
        <v>0</v>
      </c>
      <c r="F234" s="14">
        <f t="shared" si="3"/>
        <v>-6.99</v>
      </c>
      <c r="G234" t="s">
        <v>33</v>
      </c>
      <c r="H234" t="s">
        <v>28</v>
      </c>
      <c r="I234" t="s">
        <v>34</v>
      </c>
    </row>
    <row r="235" spans="1:9" x14ac:dyDescent="0.2">
      <c r="A235" t="s">
        <v>19</v>
      </c>
      <c r="B235" s="1">
        <v>45182</v>
      </c>
      <c r="C235" t="s">
        <v>77</v>
      </c>
      <c r="D235">
        <v>6.99</v>
      </c>
      <c r="E235" s="21">
        <v>0</v>
      </c>
      <c r="F235" s="14">
        <f t="shared" si="3"/>
        <v>-6.99</v>
      </c>
      <c r="G235" t="s">
        <v>33</v>
      </c>
      <c r="H235" t="s">
        <v>28</v>
      </c>
      <c r="I235" t="s">
        <v>34</v>
      </c>
    </row>
    <row r="236" spans="1:9" x14ac:dyDescent="0.2">
      <c r="A236" t="s">
        <v>19</v>
      </c>
      <c r="B236" s="1">
        <v>45124</v>
      </c>
      <c r="C236" t="s">
        <v>62</v>
      </c>
      <c r="D236">
        <v>0.99</v>
      </c>
      <c r="E236" s="21">
        <v>0</v>
      </c>
      <c r="F236" s="14">
        <f t="shared" si="3"/>
        <v>-0.99</v>
      </c>
      <c r="G236" t="s">
        <v>33</v>
      </c>
      <c r="H236" t="s">
        <v>28</v>
      </c>
      <c r="I236" t="s">
        <v>34</v>
      </c>
    </row>
    <row r="237" spans="1:9" x14ac:dyDescent="0.2">
      <c r="A237" t="s">
        <v>19</v>
      </c>
      <c r="B237" s="1">
        <v>45155</v>
      </c>
      <c r="C237" t="s">
        <v>62</v>
      </c>
      <c r="D237">
        <v>0.99</v>
      </c>
      <c r="E237" s="21">
        <v>0</v>
      </c>
      <c r="F237" s="14">
        <f t="shared" si="3"/>
        <v>-0.99</v>
      </c>
      <c r="G237" t="s">
        <v>33</v>
      </c>
      <c r="H237" t="s">
        <v>28</v>
      </c>
      <c r="I237" t="s">
        <v>34</v>
      </c>
    </row>
    <row r="238" spans="1:9" x14ac:dyDescent="0.2">
      <c r="A238" t="s">
        <v>19</v>
      </c>
      <c r="B238" s="1">
        <v>45168</v>
      </c>
      <c r="C238" t="s">
        <v>62</v>
      </c>
      <c r="D238">
        <v>2.99</v>
      </c>
      <c r="E238" s="21">
        <v>0</v>
      </c>
      <c r="F238" s="14">
        <f t="shared" si="3"/>
        <v>-2.99</v>
      </c>
      <c r="G238" t="s">
        <v>33</v>
      </c>
      <c r="H238" t="s">
        <v>28</v>
      </c>
      <c r="I238" t="s">
        <v>34</v>
      </c>
    </row>
    <row r="239" spans="1:9" x14ac:dyDescent="0.2">
      <c r="A239" t="s">
        <v>19</v>
      </c>
      <c r="B239" s="1">
        <v>45169</v>
      </c>
      <c r="C239" t="s">
        <v>62</v>
      </c>
      <c r="D239">
        <v>1.99</v>
      </c>
      <c r="E239" s="21">
        <v>0</v>
      </c>
      <c r="F239" s="14">
        <f t="shared" si="3"/>
        <v>-1.99</v>
      </c>
      <c r="G239" t="s">
        <v>33</v>
      </c>
      <c r="H239" t="s">
        <v>28</v>
      </c>
      <c r="I239" t="s">
        <v>34</v>
      </c>
    </row>
    <row r="240" spans="1:9" x14ac:dyDescent="0.2">
      <c r="A240" t="s">
        <v>19</v>
      </c>
      <c r="B240" s="1">
        <v>45152</v>
      </c>
      <c r="C240" t="s">
        <v>109</v>
      </c>
      <c r="D240">
        <v>6.99</v>
      </c>
      <c r="E240" s="21">
        <v>0</v>
      </c>
      <c r="F240" s="14">
        <f t="shared" si="3"/>
        <v>-6.99</v>
      </c>
      <c r="G240" t="s">
        <v>33</v>
      </c>
      <c r="H240" t="s">
        <v>28</v>
      </c>
      <c r="I240" t="s">
        <v>34</v>
      </c>
    </row>
    <row r="241" spans="1:9" x14ac:dyDescent="0.2">
      <c r="A241" t="s">
        <v>19</v>
      </c>
      <c r="B241" s="1">
        <v>45183</v>
      </c>
      <c r="C241" t="s">
        <v>68</v>
      </c>
      <c r="D241">
        <v>11.01</v>
      </c>
      <c r="E241" s="21">
        <v>0</v>
      </c>
      <c r="F241" s="14">
        <f t="shared" si="3"/>
        <v>-11.01</v>
      </c>
      <c r="G241" t="s">
        <v>36</v>
      </c>
      <c r="H241" t="s">
        <v>28</v>
      </c>
      <c r="I241" t="s">
        <v>34</v>
      </c>
    </row>
    <row r="242" spans="1:9" x14ac:dyDescent="0.2">
      <c r="A242" t="s">
        <v>19</v>
      </c>
      <c r="B242" s="1">
        <v>45111</v>
      </c>
      <c r="C242" t="s">
        <v>92</v>
      </c>
      <c r="D242">
        <v>16</v>
      </c>
      <c r="E242" s="21">
        <v>0</v>
      </c>
      <c r="F242" s="14">
        <f t="shared" si="3"/>
        <v>-16</v>
      </c>
      <c r="G242" t="s">
        <v>36</v>
      </c>
      <c r="H242" t="s">
        <v>28</v>
      </c>
      <c r="I242" t="s">
        <v>34</v>
      </c>
    </row>
    <row r="243" spans="1:9" x14ac:dyDescent="0.2">
      <c r="A243" t="s">
        <v>19</v>
      </c>
      <c r="B243" s="1">
        <v>45118</v>
      </c>
      <c r="C243" t="s">
        <v>161</v>
      </c>
      <c r="D243">
        <v>10</v>
      </c>
      <c r="E243" s="21">
        <v>0</v>
      </c>
      <c r="F243" s="14">
        <f t="shared" si="3"/>
        <v>-10</v>
      </c>
      <c r="G243" t="s">
        <v>36</v>
      </c>
      <c r="H243" t="s">
        <v>28</v>
      </c>
      <c r="I243" t="s">
        <v>34</v>
      </c>
    </row>
    <row r="244" spans="1:9" x14ac:dyDescent="0.2">
      <c r="A244" t="s">
        <v>19</v>
      </c>
      <c r="B244" s="1">
        <v>45129</v>
      </c>
      <c r="C244" t="s">
        <v>162</v>
      </c>
      <c r="D244">
        <v>18.489999999999998</v>
      </c>
      <c r="E244" s="21">
        <v>0</v>
      </c>
      <c r="F244" s="14">
        <f t="shared" si="3"/>
        <v>-18.489999999999998</v>
      </c>
      <c r="G244" t="s">
        <v>36</v>
      </c>
      <c r="H244" t="s">
        <v>28</v>
      </c>
      <c r="I244" t="s">
        <v>34</v>
      </c>
    </row>
    <row r="245" spans="1:9" x14ac:dyDescent="0.2">
      <c r="A245" t="s">
        <v>20</v>
      </c>
      <c r="B245" s="1">
        <v>45131</v>
      </c>
      <c r="C245" t="s">
        <v>83</v>
      </c>
      <c r="D245">
        <v>6.27</v>
      </c>
      <c r="E245" s="21">
        <v>0</v>
      </c>
      <c r="F245" s="14">
        <f t="shared" si="3"/>
        <v>-6.27</v>
      </c>
      <c r="G245" t="s">
        <v>36</v>
      </c>
      <c r="H245" t="s">
        <v>28</v>
      </c>
      <c r="I245" t="s">
        <v>34</v>
      </c>
    </row>
    <row r="246" spans="1:9" x14ac:dyDescent="0.2">
      <c r="A246" t="s">
        <v>19</v>
      </c>
      <c r="B246" s="1">
        <v>45131</v>
      </c>
      <c r="C246" t="s">
        <v>163</v>
      </c>
      <c r="D246">
        <v>14.48</v>
      </c>
      <c r="E246" s="21">
        <v>0</v>
      </c>
      <c r="F246" s="14">
        <f t="shared" si="3"/>
        <v>-14.48</v>
      </c>
      <c r="G246" t="s">
        <v>36</v>
      </c>
      <c r="H246" t="s">
        <v>28</v>
      </c>
      <c r="I246" t="s">
        <v>34</v>
      </c>
    </row>
    <row r="247" spans="1:9" x14ac:dyDescent="0.2">
      <c r="A247" t="s">
        <v>19</v>
      </c>
      <c r="B247" s="1">
        <v>45141</v>
      </c>
      <c r="C247" t="s">
        <v>164</v>
      </c>
      <c r="D247">
        <v>13.93</v>
      </c>
      <c r="E247" s="21">
        <v>0</v>
      </c>
      <c r="F247" s="14">
        <f t="shared" si="3"/>
        <v>-13.93</v>
      </c>
      <c r="G247" t="s">
        <v>36</v>
      </c>
      <c r="H247" t="s">
        <v>28</v>
      </c>
      <c r="I247" t="s">
        <v>34</v>
      </c>
    </row>
    <row r="248" spans="1:9" x14ac:dyDescent="0.2">
      <c r="A248" t="s">
        <v>19</v>
      </c>
      <c r="B248" s="1">
        <v>45148</v>
      </c>
      <c r="C248" t="s">
        <v>165</v>
      </c>
      <c r="D248">
        <v>23.58</v>
      </c>
      <c r="E248" s="21">
        <v>0</v>
      </c>
      <c r="F248" s="14">
        <f t="shared" si="3"/>
        <v>-23.58</v>
      </c>
      <c r="G248" t="s">
        <v>36</v>
      </c>
      <c r="H248" t="s">
        <v>28</v>
      </c>
      <c r="I248" t="s">
        <v>34</v>
      </c>
    </row>
    <row r="249" spans="1:9" x14ac:dyDescent="0.2">
      <c r="A249" t="s">
        <v>19</v>
      </c>
      <c r="B249" s="1">
        <v>45159</v>
      </c>
      <c r="C249" t="s">
        <v>166</v>
      </c>
      <c r="D249">
        <v>37.979999999999997</v>
      </c>
      <c r="E249" s="21">
        <v>0</v>
      </c>
      <c r="F249" s="14">
        <f t="shared" si="3"/>
        <v>-37.979999999999997</v>
      </c>
      <c r="G249" t="s">
        <v>36</v>
      </c>
      <c r="H249" t="s">
        <v>28</v>
      </c>
      <c r="I249" t="s">
        <v>34</v>
      </c>
    </row>
    <row r="250" spans="1:9" x14ac:dyDescent="0.2">
      <c r="A250" t="s">
        <v>19</v>
      </c>
      <c r="B250" s="1">
        <v>45163</v>
      </c>
      <c r="C250" t="s">
        <v>167</v>
      </c>
      <c r="D250">
        <v>21.83</v>
      </c>
      <c r="E250" s="21">
        <v>0</v>
      </c>
      <c r="F250" s="14">
        <f t="shared" si="3"/>
        <v>-21.83</v>
      </c>
      <c r="G250" t="s">
        <v>36</v>
      </c>
      <c r="H250" t="s">
        <v>28</v>
      </c>
      <c r="I250" t="s">
        <v>34</v>
      </c>
    </row>
    <row r="251" spans="1:9" x14ac:dyDescent="0.2">
      <c r="A251" t="s">
        <v>19</v>
      </c>
      <c r="B251" s="1">
        <v>45164</v>
      </c>
      <c r="C251" t="s">
        <v>168</v>
      </c>
      <c r="D251">
        <v>20.38</v>
      </c>
      <c r="E251" s="21">
        <v>0</v>
      </c>
      <c r="F251" s="14">
        <f t="shared" si="3"/>
        <v>-20.38</v>
      </c>
      <c r="G251" t="s">
        <v>36</v>
      </c>
      <c r="H251" t="s">
        <v>28</v>
      </c>
      <c r="I251" t="s">
        <v>34</v>
      </c>
    </row>
  </sheetData>
  <autoFilter ref="A1:I1" xr:uid="{076FCD41-85AF-6C42-846E-56F9D6402BB3}"/>
  <dataValidations count="1">
    <dataValidation type="list" allowBlank="1" showInputMessage="1" showErrorMessage="1" sqref="G1" xr:uid="{6FDDE8F7-28F7-1B43-A0D0-6D8D656D0A4B}">
      <formula1>$B$1:$B$21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4C6CF29-341D-2F47-BD14-393164E3CE6E}">
          <x14:formula1>
            <xm:f>'Data Validation'!$B$2:$B$26</xm:f>
          </x14:formula1>
          <xm:sqref>G2:G251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251"/>
  <sheetViews>
    <sheetView workbookViewId="0">
      <selection activeCell="D2" sqref="D2:F219"/>
    </sheetView>
  </sheetViews>
  <sheetFormatPr baseColWidth="10" defaultRowHeight="16" x14ac:dyDescent="0.2"/>
  <cols>
    <col min="1" max="1" width="15.5703125" customWidth="1"/>
    <col min="2" max="2" width="7.7109375" customWidth="1"/>
    <col min="3" max="3" width="18.42578125" customWidth="1"/>
    <col min="4" max="4" width="8" customWidth="1"/>
    <col min="5" max="5" width="8.42578125" customWidth="1"/>
    <col min="6" max="6" width="10" customWidth="1"/>
    <col min="7" max="7" width="56" customWidth="1"/>
    <col min="8" max="8" width="13.7109375" customWidth="1"/>
    <col min="9" max="9" width="15" customWidth="1"/>
  </cols>
  <sheetData>
    <row r="1" spans="1:9" x14ac:dyDescent="0.2">
      <c r="A1" t="s">
        <v>4</v>
      </c>
      <c r="B1" t="s">
        <v>0</v>
      </c>
      <c r="C1" t="s">
        <v>1</v>
      </c>
      <c r="D1" t="s">
        <v>18</v>
      </c>
      <c r="E1" t="s">
        <v>19</v>
      </c>
      <c r="F1" t="s">
        <v>2</v>
      </c>
      <c r="G1" t="s">
        <v>21</v>
      </c>
      <c r="H1" t="s">
        <v>3</v>
      </c>
      <c r="I1" t="s">
        <v>22</v>
      </c>
    </row>
    <row r="2" spans="1:9" x14ac:dyDescent="0.2">
      <c r="A2" t="s">
        <v>19</v>
      </c>
      <c r="B2" s="1">
        <v>45178</v>
      </c>
      <c r="C2" t="s">
        <v>81</v>
      </c>
      <c r="D2" s="14">
        <v>149</v>
      </c>
      <c r="E2" s="14">
        <v>0</v>
      </c>
      <c r="F2" s="14">
        <f t="shared" ref="F2:F65" si="0">E2-D2</f>
        <v>-149</v>
      </c>
      <c r="G2" t="s">
        <v>15</v>
      </c>
      <c r="H2" t="s">
        <v>23</v>
      </c>
      <c r="I2" t="s">
        <v>34</v>
      </c>
    </row>
    <row r="3" spans="1:9" x14ac:dyDescent="0.2">
      <c r="A3" t="s">
        <v>19</v>
      </c>
      <c r="B3" s="1">
        <v>45131</v>
      </c>
      <c r="C3" t="s">
        <v>102</v>
      </c>
      <c r="D3" s="14">
        <v>7.85</v>
      </c>
      <c r="E3" s="14">
        <v>0</v>
      </c>
      <c r="F3" s="14">
        <f t="shared" si="0"/>
        <v>-7.85</v>
      </c>
      <c r="G3" t="s">
        <v>15</v>
      </c>
      <c r="H3" t="s">
        <v>23</v>
      </c>
      <c r="I3" t="s">
        <v>34</v>
      </c>
    </row>
    <row r="4" spans="1:9" x14ac:dyDescent="0.2">
      <c r="A4" t="s">
        <v>19</v>
      </c>
      <c r="B4" s="1">
        <v>45138</v>
      </c>
      <c r="C4" t="s">
        <v>102</v>
      </c>
      <c r="D4" s="14">
        <v>9.3800000000000008</v>
      </c>
      <c r="E4" s="14">
        <v>0</v>
      </c>
      <c r="F4" s="14">
        <f t="shared" si="0"/>
        <v>-9.3800000000000008</v>
      </c>
      <c r="G4" t="s">
        <v>15</v>
      </c>
      <c r="H4" t="s">
        <v>23</v>
      </c>
      <c r="I4" t="s">
        <v>34</v>
      </c>
    </row>
    <row r="5" spans="1:9" x14ac:dyDescent="0.2">
      <c r="A5" t="s">
        <v>19</v>
      </c>
      <c r="B5" s="1">
        <v>45138</v>
      </c>
      <c r="C5" t="s">
        <v>102</v>
      </c>
      <c r="D5" s="14">
        <v>9.3800000000000008</v>
      </c>
      <c r="E5" s="14">
        <v>0</v>
      </c>
      <c r="F5" s="14">
        <f t="shared" si="0"/>
        <v>-9.3800000000000008</v>
      </c>
      <c r="G5" t="s">
        <v>15</v>
      </c>
      <c r="H5" t="s">
        <v>23</v>
      </c>
      <c r="I5" t="s">
        <v>34</v>
      </c>
    </row>
    <row r="6" spans="1:9" x14ac:dyDescent="0.2">
      <c r="A6" t="s">
        <v>19</v>
      </c>
      <c r="B6" s="1">
        <v>45159</v>
      </c>
      <c r="C6" t="s">
        <v>103</v>
      </c>
      <c r="D6" s="14">
        <v>2</v>
      </c>
      <c r="E6" s="14">
        <v>0</v>
      </c>
      <c r="F6" s="14">
        <f t="shared" si="0"/>
        <v>-2</v>
      </c>
      <c r="G6" t="s">
        <v>15</v>
      </c>
      <c r="H6" t="s">
        <v>23</v>
      </c>
      <c r="I6" t="s">
        <v>34</v>
      </c>
    </row>
    <row r="7" spans="1:9" x14ac:dyDescent="0.2">
      <c r="A7" t="s">
        <v>19</v>
      </c>
      <c r="B7" s="1">
        <v>45114</v>
      </c>
      <c r="C7" t="s">
        <v>104</v>
      </c>
      <c r="D7" s="14">
        <v>2</v>
      </c>
      <c r="E7" s="14">
        <v>0</v>
      </c>
      <c r="F7" s="14">
        <f t="shared" si="0"/>
        <v>-2</v>
      </c>
      <c r="G7" t="s">
        <v>15</v>
      </c>
      <c r="H7" t="s">
        <v>23</v>
      </c>
      <c r="I7" t="s">
        <v>34</v>
      </c>
    </row>
    <row r="8" spans="1:9" x14ac:dyDescent="0.2">
      <c r="A8" t="s">
        <v>19</v>
      </c>
      <c r="B8" s="1">
        <v>45112</v>
      </c>
      <c r="C8" t="s">
        <v>81</v>
      </c>
      <c r="D8" s="14">
        <v>240</v>
      </c>
      <c r="E8" s="14">
        <v>0</v>
      </c>
      <c r="F8" s="14">
        <f t="shared" si="0"/>
        <v>-240</v>
      </c>
      <c r="G8" t="s">
        <v>15</v>
      </c>
      <c r="H8" t="s">
        <v>23</v>
      </c>
      <c r="I8" t="s">
        <v>34</v>
      </c>
    </row>
    <row r="9" spans="1:9" x14ac:dyDescent="0.2">
      <c r="A9" t="s">
        <v>19</v>
      </c>
      <c r="B9" s="1">
        <v>45150</v>
      </c>
      <c r="C9" t="s">
        <v>81</v>
      </c>
      <c r="D9" s="14">
        <v>149</v>
      </c>
      <c r="E9" s="14">
        <v>0</v>
      </c>
      <c r="F9" s="14">
        <f t="shared" si="0"/>
        <v>-149</v>
      </c>
      <c r="G9" t="s">
        <v>15</v>
      </c>
      <c r="H9" t="s">
        <v>23</v>
      </c>
      <c r="I9" t="s">
        <v>34</v>
      </c>
    </row>
    <row r="10" spans="1:9" x14ac:dyDescent="0.2">
      <c r="A10" t="s">
        <v>19</v>
      </c>
      <c r="B10" s="1">
        <v>45156</v>
      </c>
      <c r="C10" t="s">
        <v>100</v>
      </c>
      <c r="D10" s="14">
        <v>32.15</v>
      </c>
      <c r="E10" s="14">
        <v>0</v>
      </c>
      <c r="F10" s="14">
        <f t="shared" si="0"/>
        <v>-32.15</v>
      </c>
      <c r="G10" t="s">
        <v>48</v>
      </c>
      <c r="H10" t="s">
        <v>31</v>
      </c>
      <c r="I10" t="s">
        <v>34</v>
      </c>
    </row>
    <row r="11" spans="1:9" x14ac:dyDescent="0.2">
      <c r="A11" t="s">
        <v>19</v>
      </c>
      <c r="B11" s="1">
        <v>45110</v>
      </c>
      <c r="C11" t="s">
        <v>171</v>
      </c>
      <c r="D11" s="14">
        <v>19.29</v>
      </c>
      <c r="E11" s="14">
        <v>0</v>
      </c>
      <c r="F11" s="14">
        <f t="shared" si="0"/>
        <v>-19.29</v>
      </c>
      <c r="G11" t="s">
        <v>48</v>
      </c>
      <c r="H11" t="s">
        <v>31</v>
      </c>
      <c r="I11" t="s">
        <v>34</v>
      </c>
    </row>
    <row r="12" spans="1:9" x14ac:dyDescent="0.2">
      <c r="A12" t="s">
        <v>19</v>
      </c>
      <c r="B12" s="1">
        <v>45121</v>
      </c>
      <c r="C12" t="s">
        <v>172</v>
      </c>
      <c r="D12" s="14">
        <v>81.93</v>
      </c>
      <c r="E12" s="14">
        <v>0</v>
      </c>
      <c r="F12" s="14">
        <f t="shared" si="0"/>
        <v>-81.93</v>
      </c>
      <c r="G12" t="s">
        <v>48</v>
      </c>
      <c r="H12" t="s">
        <v>31</v>
      </c>
      <c r="I12" t="s">
        <v>34</v>
      </c>
    </row>
    <row r="13" spans="1:9" x14ac:dyDescent="0.2">
      <c r="A13" t="s">
        <v>20</v>
      </c>
      <c r="B13" s="1">
        <v>45135</v>
      </c>
      <c r="C13" t="s">
        <v>131</v>
      </c>
      <c r="D13" s="14">
        <v>111.05</v>
      </c>
      <c r="E13" s="14">
        <v>0</v>
      </c>
      <c r="F13" s="14">
        <f t="shared" si="0"/>
        <v>-111.05</v>
      </c>
      <c r="G13" t="s">
        <v>48</v>
      </c>
      <c r="H13" t="s">
        <v>31</v>
      </c>
      <c r="I13" t="s">
        <v>34</v>
      </c>
    </row>
    <row r="14" spans="1:9" x14ac:dyDescent="0.2">
      <c r="A14" t="s">
        <v>19</v>
      </c>
      <c r="B14" s="1">
        <v>45138</v>
      </c>
      <c r="C14" t="s">
        <v>173</v>
      </c>
      <c r="D14" s="14">
        <v>12</v>
      </c>
      <c r="E14" s="14">
        <v>0</v>
      </c>
      <c r="F14" s="14">
        <f t="shared" si="0"/>
        <v>-12</v>
      </c>
      <c r="G14" t="s">
        <v>48</v>
      </c>
      <c r="H14" t="s">
        <v>31</v>
      </c>
      <c r="I14" t="s">
        <v>34</v>
      </c>
    </row>
    <row r="15" spans="1:9" x14ac:dyDescent="0.2">
      <c r="A15" t="s">
        <v>19</v>
      </c>
      <c r="B15" s="1">
        <v>45175</v>
      </c>
      <c r="C15" t="s">
        <v>60</v>
      </c>
      <c r="D15" s="14">
        <v>14</v>
      </c>
      <c r="E15" s="14">
        <v>0</v>
      </c>
      <c r="F15" s="14">
        <f t="shared" si="0"/>
        <v>-14</v>
      </c>
      <c r="G15" t="s">
        <v>9</v>
      </c>
      <c r="H15" t="s">
        <v>31</v>
      </c>
      <c r="I15" t="s">
        <v>34</v>
      </c>
    </row>
    <row r="16" spans="1:9" x14ac:dyDescent="0.2">
      <c r="A16" t="s">
        <v>19</v>
      </c>
      <c r="B16" s="1">
        <v>45115</v>
      </c>
      <c r="C16" t="s">
        <v>60</v>
      </c>
      <c r="D16" s="14">
        <v>12</v>
      </c>
      <c r="E16" s="14">
        <v>0</v>
      </c>
      <c r="F16" s="14">
        <f t="shared" si="0"/>
        <v>-12</v>
      </c>
      <c r="G16" t="s">
        <v>9</v>
      </c>
      <c r="H16" t="s">
        <v>31</v>
      </c>
      <c r="I16" t="s">
        <v>34</v>
      </c>
    </row>
    <row r="17" spans="1:9" x14ac:dyDescent="0.2">
      <c r="A17" t="s">
        <v>19</v>
      </c>
      <c r="B17" s="1">
        <v>45155</v>
      </c>
      <c r="C17" t="s">
        <v>100</v>
      </c>
      <c r="D17" s="14">
        <v>14</v>
      </c>
      <c r="E17" s="14">
        <v>0</v>
      </c>
      <c r="F17" s="14">
        <f t="shared" si="0"/>
        <v>-14</v>
      </c>
      <c r="G17" t="s">
        <v>9</v>
      </c>
      <c r="H17" t="s">
        <v>31</v>
      </c>
      <c r="I17" t="s">
        <v>34</v>
      </c>
    </row>
    <row r="18" spans="1:9" x14ac:dyDescent="0.2">
      <c r="A18" t="s">
        <v>19</v>
      </c>
      <c r="B18" s="1">
        <v>45180</v>
      </c>
      <c r="C18" t="s">
        <v>84</v>
      </c>
      <c r="D18" s="14">
        <v>13</v>
      </c>
      <c r="E18" s="14">
        <v>0</v>
      </c>
      <c r="F18" s="14">
        <f t="shared" si="0"/>
        <v>-13</v>
      </c>
      <c r="G18" t="s">
        <v>7</v>
      </c>
      <c r="H18" t="s">
        <v>23</v>
      </c>
      <c r="I18" t="s">
        <v>34</v>
      </c>
    </row>
    <row r="19" spans="1:9" x14ac:dyDescent="0.2">
      <c r="A19" t="s">
        <v>19</v>
      </c>
      <c r="B19" s="1">
        <v>45180</v>
      </c>
      <c r="C19" t="s">
        <v>84</v>
      </c>
      <c r="D19" s="14">
        <v>18.559999999999999</v>
      </c>
      <c r="E19" s="14">
        <v>0</v>
      </c>
      <c r="F19" s="14">
        <f t="shared" si="0"/>
        <v>-18.559999999999999</v>
      </c>
      <c r="G19" t="s">
        <v>7</v>
      </c>
      <c r="H19" t="s">
        <v>23</v>
      </c>
      <c r="I19" t="s">
        <v>34</v>
      </c>
    </row>
    <row r="20" spans="1:9" x14ac:dyDescent="0.2">
      <c r="A20" t="s">
        <v>19</v>
      </c>
      <c r="B20" s="1">
        <v>45145</v>
      </c>
      <c r="C20" t="s">
        <v>85</v>
      </c>
      <c r="D20" s="14">
        <v>64.349999999999994</v>
      </c>
      <c r="E20" s="14">
        <v>0</v>
      </c>
      <c r="F20" s="14">
        <f t="shared" si="0"/>
        <v>-64.349999999999994</v>
      </c>
      <c r="G20" t="s">
        <v>7</v>
      </c>
      <c r="H20" t="s">
        <v>23</v>
      </c>
      <c r="I20" t="s">
        <v>34</v>
      </c>
    </row>
    <row r="21" spans="1:9" x14ac:dyDescent="0.2">
      <c r="A21" t="s">
        <v>19</v>
      </c>
      <c r="B21" s="1">
        <v>45153</v>
      </c>
      <c r="C21" t="s">
        <v>86</v>
      </c>
      <c r="D21" s="14">
        <v>67.47</v>
      </c>
      <c r="E21" s="14">
        <v>0</v>
      </c>
      <c r="F21" s="14">
        <f t="shared" si="0"/>
        <v>-67.47</v>
      </c>
      <c r="G21" t="s">
        <v>7</v>
      </c>
      <c r="H21" t="s">
        <v>23</v>
      </c>
      <c r="I21" t="s">
        <v>34</v>
      </c>
    </row>
    <row r="22" spans="1:9" x14ac:dyDescent="0.2">
      <c r="A22" t="s">
        <v>19</v>
      </c>
      <c r="B22" s="1">
        <v>45114</v>
      </c>
      <c r="C22" t="s">
        <v>105</v>
      </c>
      <c r="D22" s="14">
        <v>5</v>
      </c>
      <c r="E22" s="14">
        <v>0</v>
      </c>
      <c r="F22" s="14">
        <f t="shared" si="0"/>
        <v>-5</v>
      </c>
      <c r="G22" t="s">
        <v>7</v>
      </c>
      <c r="H22" t="s">
        <v>23</v>
      </c>
      <c r="I22" t="s">
        <v>34</v>
      </c>
    </row>
    <row r="23" spans="1:9" x14ac:dyDescent="0.2">
      <c r="A23" t="s">
        <v>19</v>
      </c>
      <c r="B23" s="1">
        <v>45114</v>
      </c>
      <c r="C23" t="s">
        <v>106</v>
      </c>
      <c r="D23" s="14">
        <v>39.67</v>
      </c>
      <c r="E23" s="14">
        <v>0</v>
      </c>
      <c r="F23" s="14">
        <f t="shared" si="0"/>
        <v>-39.67</v>
      </c>
      <c r="G23" t="s">
        <v>7</v>
      </c>
      <c r="H23" t="s">
        <v>23</v>
      </c>
      <c r="I23" t="s">
        <v>34</v>
      </c>
    </row>
    <row r="24" spans="1:9" x14ac:dyDescent="0.2">
      <c r="A24" t="s">
        <v>19</v>
      </c>
      <c r="B24" s="1">
        <v>45114</v>
      </c>
      <c r="C24" t="s">
        <v>107</v>
      </c>
      <c r="D24" s="14">
        <v>28.95</v>
      </c>
      <c r="E24" s="14">
        <v>0</v>
      </c>
      <c r="F24" s="14">
        <f t="shared" si="0"/>
        <v>-28.95</v>
      </c>
      <c r="G24" t="s">
        <v>7</v>
      </c>
      <c r="H24" t="s">
        <v>23</v>
      </c>
      <c r="I24" t="s">
        <v>34</v>
      </c>
    </row>
    <row r="25" spans="1:9" x14ac:dyDescent="0.2">
      <c r="A25" t="s">
        <v>19</v>
      </c>
      <c r="B25" s="1">
        <v>45127</v>
      </c>
      <c r="C25" t="s">
        <v>108</v>
      </c>
      <c r="D25" s="14">
        <v>64.349999999999994</v>
      </c>
      <c r="E25" s="14">
        <v>0</v>
      </c>
      <c r="F25" s="14">
        <f t="shared" si="0"/>
        <v>-64.349999999999994</v>
      </c>
      <c r="G25" t="s">
        <v>7</v>
      </c>
      <c r="H25" t="s">
        <v>23</v>
      </c>
      <c r="I25" t="s">
        <v>34</v>
      </c>
    </row>
    <row r="26" spans="1:9" x14ac:dyDescent="0.2">
      <c r="A26" t="s">
        <v>19</v>
      </c>
      <c r="B26" s="1">
        <v>45134</v>
      </c>
      <c r="C26" t="s">
        <v>150</v>
      </c>
      <c r="D26" s="14">
        <v>58.16</v>
      </c>
      <c r="E26" s="14">
        <v>0</v>
      </c>
      <c r="F26" s="14">
        <f t="shared" si="0"/>
        <v>-58.16</v>
      </c>
      <c r="G26" t="s">
        <v>49</v>
      </c>
      <c r="H26" t="s">
        <v>24</v>
      </c>
      <c r="I26" t="s">
        <v>34</v>
      </c>
    </row>
    <row r="27" spans="1:9" x14ac:dyDescent="0.2">
      <c r="A27" t="s">
        <v>19</v>
      </c>
      <c r="B27" s="1">
        <v>45166</v>
      </c>
      <c r="C27" t="s">
        <v>150</v>
      </c>
      <c r="D27" s="14">
        <v>58.16</v>
      </c>
      <c r="E27" s="14">
        <v>0</v>
      </c>
      <c r="F27" s="14">
        <f t="shared" si="0"/>
        <v>-58.16</v>
      </c>
      <c r="G27" t="s">
        <v>49</v>
      </c>
      <c r="H27" t="s">
        <v>24</v>
      </c>
      <c r="I27" t="s">
        <v>34</v>
      </c>
    </row>
    <row r="28" spans="1:9" x14ac:dyDescent="0.2">
      <c r="A28" t="s">
        <v>19</v>
      </c>
      <c r="B28" s="1">
        <v>45173</v>
      </c>
      <c r="C28" t="s">
        <v>69</v>
      </c>
      <c r="D28" s="14">
        <v>22.28</v>
      </c>
      <c r="E28" s="14">
        <v>0</v>
      </c>
      <c r="F28" s="14">
        <f t="shared" si="0"/>
        <v>-22.28</v>
      </c>
      <c r="G28" t="s">
        <v>13</v>
      </c>
      <c r="H28" t="s">
        <v>13</v>
      </c>
      <c r="I28" t="s">
        <v>34</v>
      </c>
    </row>
    <row r="29" spans="1:9" x14ac:dyDescent="0.2">
      <c r="A29" t="s">
        <v>19</v>
      </c>
      <c r="B29" s="1">
        <v>45180</v>
      </c>
      <c r="C29" t="s">
        <v>70</v>
      </c>
      <c r="D29" s="14">
        <v>21.34</v>
      </c>
      <c r="E29" s="14">
        <v>0</v>
      </c>
      <c r="F29" s="14">
        <f t="shared" si="0"/>
        <v>-21.34</v>
      </c>
      <c r="G29" t="s">
        <v>13</v>
      </c>
      <c r="H29" t="s">
        <v>13</v>
      </c>
      <c r="I29" t="s">
        <v>34</v>
      </c>
    </row>
    <row r="30" spans="1:9" x14ac:dyDescent="0.2">
      <c r="A30" t="s">
        <v>19</v>
      </c>
      <c r="B30" s="1">
        <v>45188</v>
      </c>
      <c r="C30" t="s">
        <v>71</v>
      </c>
      <c r="D30" s="14">
        <v>28.96</v>
      </c>
      <c r="E30" s="14">
        <v>0</v>
      </c>
      <c r="F30" s="14">
        <f t="shared" si="0"/>
        <v>-28.96</v>
      </c>
      <c r="G30" t="s">
        <v>13</v>
      </c>
      <c r="H30" t="s">
        <v>13</v>
      </c>
      <c r="I30" t="s">
        <v>34</v>
      </c>
    </row>
    <row r="31" spans="1:9" x14ac:dyDescent="0.2">
      <c r="A31" t="s">
        <v>19</v>
      </c>
      <c r="B31" s="1">
        <v>45173</v>
      </c>
      <c r="C31" t="s">
        <v>72</v>
      </c>
      <c r="D31" s="14">
        <v>9.25</v>
      </c>
      <c r="E31" s="14">
        <v>0</v>
      </c>
      <c r="F31" s="14">
        <f t="shared" si="0"/>
        <v>-9.25</v>
      </c>
      <c r="G31" t="s">
        <v>13</v>
      </c>
      <c r="H31" t="s">
        <v>13</v>
      </c>
      <c r="I31" t="s">
        <v>34</v>
      </c>
    </row>
    <row r="32" spans="1:9" x14ac:dyDescent="0.2">
      <c r="A32" t="s">
        <v>19</v>
      </c>
      <c r="B32" s="1">
        <v>45123</v>
      </c>
      <c r="C32" t="s">
        <v>70</v>
      </c>
      <c r="D32" s="14">
        <v>14.65</v>
      </c>
      <c r="E32" s="14">
        <v>0</v>
      </c>
      <c r="F32" s="14">
        <f t="shared" si="0"/>
        <v>-14.65</v>
      </c>
      <c r="G32" t="s">
        <v>13</v>
      </c>
      <c r="H32" t="s">
        <v>13</v>
      </c>
      <c r="I32" t="s">
        <v>34</v>
      </c>
    </row>
    <row r="33" spans="1:9" x14ac:dyDescent="0.2">
      <c r="A33" t="s">
        <v>19</v>
      </c>
      <c r="B33" s="1">
        <v>45128</v>
      </c>
      <c r="C33" t="s">
        <v>70</v>
      </c>
      <c r="D33" s="14">
        <v>18.510000000000002</v>
      </c>
      <c r="E33" s="14">
        <v>0</v>
      </c>
      <c r="F33" s="14">
        <f t="shared" si="0"/>
        <v>-18.510000000000002</v>
      </c>
      <c r="G33" t="s">
        <v>13</v>
      </c>
      <c r="H33" t="s">
        <v>13</v>
      </c>
      <c r="I33" t="s">
        <v>34</v>
      </c>
    </row>
    <row r="34" spans="1:9" x14ac:dyDescent="0.2">
      <c r="A34" t="s">
        <v>19</v>
      </c>
      <c r="B34" s="1">
        <v>45165</v>
      </c>
      <c r="C34" t="s">
        <v>73</v>
      </c>
      <c r="D34" s="14">
        <v>32</v>
      </c>
      <c r="E34" s="14">
        <v>0</v>
      </c>
      <c r="F34" s="14">
        <f t="shared" si="0"/>
        <v>-32</v>
      </c>
      <c r="G34" t="s">
        <v>13</v>
      </c>
      <c r="H34" t="s">
        <v>13</v>
      </c>
      <c r="I34" t="s">
        <v>34</v>
      </c>
    </row>
    <row r="35" spans="1:9" x14ac:dyDescent="0.2">
      <c r="A35" t="s">
        <v>19</v>
      </c>
      <c r="B35" s="1">
        <v>45186</v>
      </c>
      <c r="C35" t="s">
        <v>70</v>
      </c>
      <c r="D35" s="14">
        <v>18.510000000000002</v>
      </c>
      <c r="E35" s="14">
        <v>0</v>
      </c>
      <c r="F35" s="14">
        <f t="shared" si="0"/>
        <v>-18.510000000000002</v>
      </c>
      <c r="G35" t="s">
        <v>13</v>
      </c>
      <c r="H35" t="s">
        <v>13</v>
      </c>
      <c r="I35" t="s">
        <v>34</v>
      </c>
    </row>
    <row r="36" spans="1:9" x14ac:dyDescent="0.2">
      <c r="A36" t="s">
        <v>19</v>
      </c>
      <c r="B36" s="1">
        <v>45190</v>
      </c>
      <c r="C36" t="s">
        <v>74</v>
      </c>
      <c r="D36" s="14">
        <v>11.05</v>
      </c>
      <c r="E36" s="14">
        <v>0</v>
      </c>
      <c r="F36" s="14">
        <f t="shared" si="0"/>
        <v>-11.05</v>
      </c>
      <c r="G36" t="s">
        <v>13</v>
      </c>
      <c r="H36" t="s">
        <v>13</v>
      </c>
      <c r="I36" t="s">
        <v>34</v>
      </c>
    </row>
    <row r="37" spans="1:9" x14ac:dyDescent="0.2">
      <c r="A37" t="s">
        <v>19</v>
      </c>
      <c r="B37" s="1">
        <v>45155</v>
      </c>
      <c r="C37" t="s">
        <v>75</v>
      </c>
      <c r="D37" s="14">
        <v>10.35</v>
      </c>
      <c r="E37" s="14">
        <v>0</v>
      </c>
      <c r="F37" s="14">
        <f t="shared" si="0"/>
        <v>-10.35</v>
      </c>
      <c r="G37" t="s">
        <v>13</v>
      </c>
      <c r="H37" t="s">
        <v>13</v>
      </c>
      <c r="I37" t="s">
        <v>34</v>
      </c>
    </row>
    <row r="38" spans="1:9" x14ac:dyDescent="0.2">
      <c r="A38" t="s">
        <v>19</v>
      </c>
      <c r="B38" s="1">
        <v>45155</v>
      </c>
      <c r="C38" t="s">
        <v>76</v>
      </c>
      <c r="D38" s="14">
        <v>30.27</v>
      </c>
      <c r="E38" s="14">
        <v>0</v>
      </c>
      <c r="F38" s="14">
        <f t="shared" si="0"/>
        <v>-30.27</v>
      </c>
      <c r="G38" t="s">
        <v>13</v>
      </c>
      <c r="H38" t="s">
        <v>13</v>
      </c>
      <c r="I38" t="s">
        <v>34</v>
      </c>
    </row>
    <row r="39" spans="1:9" x14ac:dyDescent="0.2">
      <c r="A39" t="s">
        <v>19</v>
      </c>
      <c r="B39" s="1">
        <v>45108</v>
      </c>
      <c r="C39" t="s">
        <v>111</v>
      </c>
      <c r="D39" s="14">
        <v>6.5</v>
      </c>
      <c r="E39" s="14">
        <v>0</v>
      </c>
      <c r="F39" s="14">
        <f t="shared" si="0"/>
        <v>-6.5</v>
      </c>
      <c r="G39" t="s">
        <v>13</v>
      </c>
      <c r="H39" t="s">
        <v>13</v>
      </c>
      <c r="I39" t="s">
        <v>34</v>
      </c>
    </row>
    <row r="40" spans="1:9" x14ac:dyDescent="0.2">
      <c r="A40" t="s">
        <v>19</v>
      </c>
      <c r="B40" s="1">
        <v>45110</v>
      </c>
      <c r="C40" t="s">
        <v>97</v>
      </c>
      <c r="D40" s="14">
        <v>10.67</v>
      </c>
      <c r="E40" s="14">
        <v>0</v>
      </c>
      <c r="F40" s="14">
        <f t="shared" si="0"/>
        <v>-10.67</v>
      </c>
      <c r="G40" t="s">
        <v>13</v>
      </c>
      <c r="H40" t="s">
        <v>13</v>
      </c>
      <c r="I40" t="s">
        <v>34</v>
      </c>
    </row>
    <row r="41" spans="1:9" x14ac:dyDescent="0.2">
      <c r="A41" t="s">
        <v>19</v>
      </c>
      <c r="B41" s="1">
        <v>45114</v>
      </c>
      <c r="C41" t="s">
        <v>111</v>
      </c>
      <c r="D41" s="14">
        <v>23.05</v>
      </c>
      <c r="E41" s="14">
        <v>0</v>
      </c>
      <c r="F41" s="14">
        <f t="shared" si="0"/>
        <v>-23.05</v>
      </c>
      <c r="G41" t="s">
        <v>13</v>
      </c>
      <c r="H41" t="s">
        <v>13</v>
      </c>
      <c r="I41" t="s">
        <v>34</v>
      </c>
    </row>
    <row r="42" spans="1:9" x14ac:dyDescent="0.2">
      <c r="A42" t="s">
        <v>19</v>
      </c>
      <c r="B42" s="1">
        <v>45114</v>
      </c>
      <c r="C42" t="s">
        <v>72</v>
      </c>
      <c r="D42" s="14">
        <v>23.33</v>
      </c>
      <c r="E42" s="14">
        <v>0</v>
      </c>
      <c r="F42" s="14">
        <f t="shared" si="0"/>
        <v>-23.33</v>
      </c>
      <c r="G42" t="s">
        <v>13</v>
      </c>
      <c r="H42" t="s">
        <v>13</v>
      </c>
      <c r="I42" t="s">
        <v>34</v>
      </c>
    </row>
    <row r="43" spans="1:9" x14ac:dyDescent="0.2">
      <c r="A43" t="s">
        <v>19</v>
      </c>
      <c r="B43" s="1">
        <v>45115</v>
      </c>
      <c r="C43" t="s">
        <v>112</v>
      </c>
      <c r="D43" s="14">
        <v>21</v>
      </c>
      <c r="E43" s="14">
        <v>0</v>
      </c>
      <c r="F43" s="14">
        <f t="shared" si="0"/>
        <v>-21</v>
      </c>
      <c r="G43" t="s">
        <v>13</v>
      </c>
      <c r="H43" t="s">
        <v>13</v>
      </c>
      <c r="I43" t="s">
        <v>34</v>
      </c>
    </row>
    <row r="44" spans="1:9" x14ac:dyDescent="0.2">
      <c r="A44" t="s">
        <v>19</v>
      </c>
      <c r="B44" s="1">
        <v>45120</v>
      </c>
      <c r="C44" t="s">
        <v>70</v>
      </c>
      <c r="D44" s="14">
        <v>5.98</v>
      </c>
      <c r="E44" s="14">
        <v>0</v>
      </c>
      <c r="F44" s="14">
        <f t="shared" si="0"/>
        <v>-5.98</v>
      </c>
      <c r="G44" t="s">
        <v>13</v>
      </c>
      <c r="H44" t="s">
        <v>13</v>
      </c>
      <c r="I44" t="s">
        <v>34</v>
      </c>
    </row>
    <row r="45" spans="1:9" x14ac:dyDescent="0.2">
      <c r="A45" t="s">
        <v>19</v>
      </c>
      <c r="B45" s="1">
        <v>45122</v>
      </c>
      <c r="C45" t="s">
        <v>113</v>
      </c>
      <c r="D45" s="14">
        <v>7.19</v>
      </c>
      <c r="E45" s="14">
        <v>0</v>
      </c>
      <c r="F45" s="14">
        <f t="shared" si="0"/>
        <v>-7.19</v>
      </c>
      <c r="G45" t="s">
        <v>13</v>
      </c>
      <c r="H45" t="s">
        <v>13</v>
      </c>
      <c r="I45" t="s">
        <v>34</v>
      </c>
    </row>
    <row r="46" spans="1:9" x14ac:dyDescent="0.2">
      <c r="A46" t="s">
        <v>19</v>
      </c>
      <c r="B46" s="1">
        <v>45129</v>
      </c>
      <c r="C46" t="s">
        <v>111</v>
      </c>
      <c r="D46" s="14">
        <v>6.5</v>
      </c>
      <c r="E46" s="14">
        <v>0</v>
      </c>
      <c r="F46" s="14">
        <f t="shared" si="0"/>
        <v>-6.5</v>
      </c>
      <c r="G46" t="s">
        <v>13</v>
      </c>
      <c r="H46" t="s">
        <v>13</v>
      </c>
      <c r="I46" t="s">
        <v>34</v>
      </c>
    </row>
    <row r="47" spans="1:9" x14ac:dyDescent="0.2">
      <c r="A47" t="s">
        <v>19</v>
      </c>
      <c r="B47" s="1">
        <v>45131</v>
      </c>
      <c r="C47" t="s">
        <v>114</v>
      </c>
      <c r="D47" s="14">
        <v>4.4000000000000004</v>
      </c>
      <c r="E47" s="14">
        <v>0</v>
      </c>
      <c r="F47" s="14">
        <f t="shared" si="0"/>
        <v>-4.4000000000000004</v>
      </c>
      <c r="G47" t="s">
        <v>13</v>
      </c>
      <c r="H47" t="s">
        <v>13</v>
      </c>
      <c r="I47" t="s">
        <v>34</v>
      </c>
    </row>
    <row r="48" spans="1:9" x14ac:dyDescent="0.2">
      <c r="A48" t="s">
        <v>19</v>
      </c>
      <c r="B48" s="1">
        <v>45132</v>
      </c>
      <c r="C48" t="s">
        <v>115</v>
      </c>
      <c r="D48" s="14">
        <v>39</v>
      </c>
      <c r="E48" s="14">
        <v>0</v>
      </c>
      <c r="F48" s="14">
        <f t="shared" si="0"/>
        <v>-39</v>
      </c>
      <c r="G48" t="s">
        <v>13</v>
      </c>
      <c r="H48" t="s">
        <v>13</v>
      </c>
      <c r="I48" t="s">
        <v>34</v>
      </c>
    </row>
    <row r="49" spans="1:9" x14ac:dyDescent="0.2">
      <c r="A49" t="s">
        <v>19</v>
      </c>
      <c r="B49" s="1">
        <v>45135</v>
      </c>
      <c r="C49" t="s">
        <v>116</v>
      </c>
      <c r="D49" s="14">
        <v>12.27</v>
      </c>
      <c r="E49" s="14">
        <v>0</v>
      </c>
      <c r="F49" s="14">
        <f t="shared" si="0"/>
        <v>-12.27</v>
      </c>
      <c r="G49" t="s">
        <v>13</v>
      </c>
      <c r="H49" t="s">
        <v>13</v>
      </c>
      <c r="I49" t="s">
        <v>34</v>
      </c>
    </row>
    <row r="50" spans="1:9" x14ac:dyDescent="0.2">
      <c r="A50" t="s">
        <v>19</v>
      </c>
      <c r="B50" s="1">
        <v>45138</v>
      </c>
      <c r="C50" t="s">
        <v>117</v>
      </c>
      <c r="D50" s="14">
        <v>35</v>
      </c>
      <c r="E50" s="14">
        <v>0</v>
      </c>
      <c r="F50" s="14">
        <f t="shared" si="0"/>
        <v>-35</v>
      </c>
      <c r="G50" t="s">
        <v>13</v>
      </c>
      <c r="H50" t="s">
        <v>13</v>
      </c>
      <c r="I50" t="s">
        <v>34</v>
      </c>
    </row>
    <row r="51" spans="1:9" x14ac:dyDescent="0.2">
      <c r="A51" t="s">
        <v>19</v>
      </c>
      <c r="B51" s="1">
        <v>45139</v>
      </c>
      <c r="C51" t="s">
        <v>118</v>
      </c>
      <c r="D51" s="14">
        <v>87</v>
      </c>
      <c r="E51" s="14">
        <v>0</v>
      </c>
      <c r="F51" s="14">
        <f t="shared" si="0"/>
        <v>-87</v>
      </c>
      <c r="G51" t="s">
        <v>13</v>
      </c>
      <c r="H51" t="s">
        <v>13</v>
      </c>
      <c r="I51" t="s">
        <v>34</v>
      </c>
    </row>
    <row r="52" spans="1:9" x14ac:dyDescent="0.2">
      <c r="A52" t="s">
        <v>19</v>
      </c>
      <c r="B52" s="1">
        <v>45145</v>
      </c>
      <c r="C52" t="s">
        <v>119</v>
      </c>
      <c r="D52" s="14">
        <v>26.26</v>
      </c>
      <c r="E52" s="14">
        <v>0</v>
      </c>
      <c r="F52" s="14">
        <f t="shared" si="0"/>
        <v>-26.26</v>
      </c>
      <c r="G52" t="s">
        <v>13</v>
      </c>
      <c r="H52" t="s">
        <v>13</v>
      </c>
      <c r="I52" t="s">
        <v>34</v>
      </c>
    </row>
    <row r="53" spans="1:9" x14ac:dyDescent="0.2">
      <c r="A53" t="s">
        <v>19</v>
      </c>
      <c r="B53" s="1">
        <v>45145</v>
      </c>
      <c r="C53" t="s">
        <v>120</v>
      </c>
      <c r="D53" s="14">
        <v>3.58</v>
      </c>
      <c r="E53" s="14">
        <v>0</v>
      </c>
      <c r="F53" s="14">
        <f t="shared" si="0"/>
        <v>-3.58</v>
      </c>
      <c r="G53" t="s">
        <v>13</v>
      </c>
      <c r="H53" t="s">
        <v>13</v>
      </c>
      <c r="I53" t="s">
        <v>34</v>
      </c>
    </row>
    <row r="54" spans="1:9" x14ac:dyDescent="0.2">
      <c r="A54" t="s">
        <v>19</v>
      </c>
      <c r="B54" s="1">
        <v>45145</v>
      </c>
      <c r="C54" t="s">
        <v>121</v>
      </c>
      <c r="D54" s="14">
        <v>2.06</v>
      </c>
      <c r="E54" s="14">
        <v>0</v>
      </c>
      <c r="F54" s="14">
        <f t="shared" si="0"/>
        <v>-2.06</v>
      </c>
      <c r="G54" t="s">
        <v>13</v>
      </c>
      <c r="H54" t="s">
        <v>13</v>
      </c>
      <c r="I54" t="s">
        <v>34</v>
      </c>
    </row>
    <row r="55" spans="1:9" x14ac:dyDescent="0.2">
      <c r="A55" t="s">
        <v>19</v>
      </c>
      <c r="B55" s="1">
        <v>45145</v>
      </c>
      <c r="C55" t="s">
        <v>122</v>
      </c>
      <c r="D55" s="14">
        <v>8.6999999999999993</v>
      </c>
      <c r="E55" s="14">
        <v>0</v>
      </c>
      <c r="F55" s="14">
        <f t="shared" si="0"/>
        <v>-8.6999999999999993</v>
      </c>
      <c r="G55" t="s">
        <v>13</v>
      </c>
      <c r="H55" t="s">
        <v>13</v>
      </c>
      <c r="I55" t="s">
        <v>34</v>
      </c>
    </row>
    <row r="56" spans="1:9" x14ac:dyDescent="0.2">
      <c r="A56" t="s">
        <v>19</v>
      </c>
      <c r="B56" s="1">
        <v>45145</v>
      </c>
      <c r="C56" t="s">
        <v>123</v>
      </c>
      <c r="D56" s="14">
        <v>22.52</v>
      </c>
      <c r="E56" s="14">
        <v>0</v>
      </c>
      <c r="F56" s="14">
        <f t="shared" si="0"/>
        <v>-22.52</v>
      </c>
      <c r="G56" t="s">
        <v>13</v>
      </c>
      <c r="H56" t="s">
        <v>13</v>
      </c>
      <c r="I56" t="s">
        <v>34</v>
      </c>
    </row>
    <row r="57" spans="1:9" x14ac:dyDescent="0.2">
      <c r="A57" t="s">
        <v>19</v>
      </c>
      <c r="B57" s="1">
        <v>45147</v>
      </c>
      <c r="C57" t="s">
        <v>70</v>
      </c>
      <c r="D57" s="14">
        <v>59.42</v>
      </c>
      <c r="E57" s="14">
        <v>0</v>
      </c>
      <c r="F57" s="14">
        <f t="shared" si="0"/>
        <v>-59.42</v>
      </c>
      <c r="G57" t="s">
        <v>13</v>
      </c>
      <c r="H57" t="s">
        <v>13</v>
      </c>
      <c r="I57" t="s">
        <v>34</v>
      </c>
    </row>
    <row r="58" spans="1:9" x14ac:dyDescent="0.2">
      <c r="A58" t="s">
        <v>19</v>
      </c>
      <c r="B58" s="1">
        <v>45147</v>
      </c>
      <c r="C58" t="s">
        <v>124</v>
      </c>
      <c r="D58" s="14">
        <v>13.35</v>
      </c>
      <c r="E58" s="14">
        <v>0</v>
      </c>
      <c r="F58" s="14">
        <f t="shared" si="0"/>
        <v>-13.35</v>
      </c>
      <c r="G58" t="s">
        <v>13</v>
      </c>
      <c r="H58" t="s">
        <v>13</v>
      </c>
      <c r="I58" t="s">
        <v>34</v>
      </c>
    </row>
    <row r="59" spans="1:9" x14ac:dyDescent="0.2">
      <c r="A59" t="s">
        <v>19</v>
      </c>
      <c r="B59" s="1">
        <v>45152</v>
      </c>
      <c r="C59" t="s">
        <v>114</v>
      </c>
      <c r="D59" s="14">
        <v>8.4</v>
      </c>
      <c r="E59" s="14">
        <v>0</v>
      </c>
      <c r="F59" s="14">
        <f t="shared" si="0"/>
        <v>-8.4</v>
      </c>
      <c r="G59" t="s">
        <v>13</v>
      </c>
      <c r="H59" t="s">
        <v>13</v>
      </c>
      <c r="I59" t="s">
        <v>34</v>
      </c>
    </row>
    <row r="60" spans="1:9" x14ac:dyDescent="0.2">
      <c r="A60" t="s">
        <v>19</v>
      </c>
      <c r="B60" s="1">
        <v>45153</v>
      </c>
      <c r="C60" t="s">
        <v>69</v>
      </c>
      <c r="D60" s="14">
        <v>17.14</v>
      </c>
      <c r="E60" s="14">
        <v>0</v>
      </c>
      <c r="F60" s="14">
        <f t="shared" si="0"/>
        <v>-17.14</v>
      </c>
      <c r="G60" t="s">
        <v>13</v>
      </c>
      <c r="H60" t="s">
        <v>13</v>
      </c>
      <c r="I60" t="s">
        <v>34</v>
      </c>
    </row>
    <row r="61" spans="1:9" x14ac:dyDescent="0.2">
      <c r="A61" t="s">
        <v>19</v>
      </c>
      <c r="B61" s="1">
        <v>45154</v>
      </c>
      <c r="C61" t="s">
        <v>125</v>
      </c>
      <c r="D61" s="14">
        <v>5.9</v>
      </c>
      <c r="E61" s="14">
        <v>0</v>
      </c>
      <c r="F61" s="14">
        <f t="shared" si="0"/>
        <v>-5.9</v>
      </c>
      <c r="G61" t="s">
        <v>13</v>
      </c>
      <c r="H61" t="s">
        <v>13</v>
      </c>
      <c r="I61" t="s">
        <v>34</v>
      </c>
    </row>
    <row r="62" spans="1:9" x14ac:dyDescent="0.2">
      <c r="A62" t="s">
        <v>19</v>
      </c>
      <c r="B62" s="1">
        <v>45159</v>
      </c>
      <c r="C62" t="s">
        <v>126</v>
      </c>
      <c r="D62" s="14">
        <v>28</v>
      </c>
      <c r="E62" s="14">
        <v>0</v>
      </c>
      <c r="F62" s="14">
        <f t="shared" si="0"/>
        <v>-28</v>
      </c>
      <c r="G62" t="s">
        <v>13</v>
      </c>
      <c r="H62" t="s">
        <v>13</v>
      </c>
      <c r="I62" t="s">
        <v>34</v>
      </c>
    </row>
    <row r="63" spans="1:9" x14ac:dyDescent="0.2">
      <c r="A63" t="s">
        <v>19</v>
      </c>
      <c r="B63" s="1">
        <v>45159</v>
      </c>
      <c r="C63" t="s">
        <v>127</v>
      </c>
      <c r="D63" s="14">
        <v>60</v>
      </c>
      <c r="E63" s="14">
        <v>0</v>
      </c>
      <c r="F63" s="14">
        <f t="shared" si="0"/>
        <v>-60</v>
      </c>
      <c r="G63" t="s">
        <v>13</v>
      </c>
      <c r="H63" t="s">
        <v>13</v>
      </c>
      <c r="I63" t="s">
        <v>34</v>
      </c>
    </row>
    <row r="64" spans="1:9" x14ac:dyDescent="0.2">
      <c r="A64" t="s">
        <v>19</v>
      </c>
      <c r="B64" s="1">
        <v>45164</v>
      </c>
      <c r="C64" t="s">
        <v>114</v>
      </c>
      <c r="D64" s="14">
        <v>3.65</v>
      </c>
      <c r="E64" s="14">
        <v>0</v>
      </c>
      <c r="F64" s="14">
        <f t="shared" si="0"/>
        <v>-3.65</v>
      </c>
      <c r="G64" t="s">
        <v>13</v>
      </c>
      <c r="H64" t="s">
        <v>13</v>
      </c>
      <c r="I64" t="s">
        <v>34</v>
      </c>
    </row>
    <row r="65" spans="1:9" x14ac:dyDescent="0.2">
      <c r="A65" t="s">
        <v>19</v>
      </c>
      <c r="B65" s="1">
        <v>45166</v>
      </c>
      <c r="C65" t="s">
        <v>128</v>
      </c>
      <c r="D65" s="14">
        <v>26.36</v>
      </c>
      <c r="E65" s="14">
        <v>0</v>
      </c>
      <c r="F65" s="14">
        <f t="shared" si="0"/>
        <v>-26.36</v>
      </c>
      <c r="G65" t="s">
        <v>13</v>
      </c>
      <c r="H65" t="s">
        <v>13</v>
      </c>
      <c r="I65" t="s">
        <v>34</v>
      </c>
    </row>
    <row r="66" spans="1:9" x14ac:dyDescent="0.2">
      <c r="A66" t="s">
        <v>19</v>
      </c>
      <c r="B66" s="1">
        <v>45189</v>
      </c>
      <c r="C66" t="s">
        <v>128</v>
      </c>
      <c r="D66" s="14">
        <v>26.36</v>
      </c>
      <c r="E66" s="14">
        <v>0</v>
      </c>
      <c r="F66" s="14">
        <f t="shared" ref="F66:F129" si="1">E66-D66</f>
        <v>-26.36</v>
      </c>
      <c r="G66" t="s">
        <v>13</v>
      </c>
      <c r="H66" t="s">
        <v>13</v>
      </c>
      <c r="I66" t="s">
        <v>34</v>
      </c>
    </row>
    <row r="67" spans="1:9" x14ac:dyDescent="0.2">
      <c r="A67" t="s">
        <v>19</v>
      </c>
      <c r="B67" s="1">
        <v>45189</v>
      </c>
      <c r="C67" t="s">
        <v>128</v>
      </c>
      <c r="D67" s="14">
        <v>26.36</v>
      </c>
      <c r="E67" s="14">
        <v>0</v>
      </c>
      <c r="F67" s="14">
        <f t="shared" si="1"/>
        <v>-26.36</v>
      </c>
      <c r="G67" t="s">
        <v>13</v>
      </c>
      <c r="H67" t="s">
        <v>13</v>
      </c>
      <c r="I67" t="s">
        <v>34</v>
      </c>
    </row>
    <row r="68" spans="1:9" x14ac:dyDescent="0.2">
      <c r="A68" t="s">
        <v>19</v>
      </c>
      <c r="B68" s="1">
        <v>45165</v>
      </c>
      <c r="C68" t="s">
        <v>73</v>
      </c>
      <c r="D68" s="14">
        <v>32</v>
      </c>
      <c r="E68" s="14">
        <v>0</v>
      </c>
      <c r="F68" s="14">
        <f t="shared" si="1"/>
        <v>-32</v>
      </c>
      <c r="G68" t="s">
        <v>13</v>
      </c>
      <c r="H68" t="s">
        <v>13</v>
      </c>
      <c r="I68" t="s">
        <v>34</v>
      </c>
    </row>
    <row r="69" spans="1:9" x14ac:dyDescent="0.2">
      <c r="A69" t="s">
        <v>19</v>
      </c>
      <c r="B69" s="1">
        <v>45152</v>
      </c>
      <c r="C69" t="s">
        <v>174</v>
      </c>
      <c r="D69" s="14">
        <v>222</v>
      </c>
      <c r="E69" s="14">
        <v>0</v>
      </c>
      <c r="F69" s="14">
        <f t="shared" si="1"/>
        <v>-222</v>
      </c>
      <c r="G69" t="s">
        <v>26</v>
      </c>
      <c r="H69" t="s">
        <v>26</v>
      </c>
      <c r="I69" t="s">
        <v>34</v>
      </c>
    </row>
    <row r="70" spans="1:9" x14ac:dyDescent="0.2">
      <c r="A70" t="s">
        <v>19</v>
      </c>
      <c r="B70" s="1">
        <v>45180</v>
      </c>
      <c r="C70" t="s">
        <v>174</v>
      </c>
      <c r="D70" s="14">
        <v>85</v>
      </c>
      <c r="E70" s="14">
        <v>0</v>
      </c>
      <c r="F70" s="14">
        <f t="shared" si="1"/>
        <v>-85</v>
      </c>
      <c r="G70" t="s">
        <v>26</v>
      </c>
      <c r="H70" t="s">
        <v>26</v>
      </c>
      <c r="I70" t="s">
        <v>34</v>
      </c>
    </row>
    <row r="71" spans="1:9" x14ac:dyDescent="0.2">
      <c r="A71" t="s">
        <v>20</v>
      </c>
      <c r="B71" s="1">
        <v>45176</v>
      </c>
      <c r="C71" t="s">
        <v>91</v>
      </c>
      <c r="D71" s="14">
        <v>10.53</v>
      </c>
      <c r="E71" s="14">
        <v>0</v>
      </c>
      <c r="F71" s="14">
        <f t="shared" si="1"/>
        <v>-10.53</v>
      </c>
      <c r="G71" t="s">
        <v>30</v>
      </c>
      <c r="H71" t="s">
        <v>28</v>
      </c>
      <c r="I71" t="s">
        <v>34</v>
      </c>
    </row>
    <row r="72" spans="1:9" x14ac:dyDescent="0.2">
      <c r="A72" t="s">
        <v>20</v>
      </c>
      <c r="B72" s="1">
        <v>45180</v>
      </c>
      <c r="C72" t="s">
        <v>92</v>
      </c>
      <c r="D72" s="14">
        <v>169.73</v>
      </c>
      <c r="E72" s="14">
        <v>0</v>
      </c>
      <c r="F72" s="14">
        <f t="shared" si="1"/>
        <v>-169.73</v>
      </c>
      <c r="G72" t="s">
        <v>30</v>
      </c>
      <c r="H72" t="s">
        <v>28</v>
      </c>
      <c r="I72" t="s">
        <v>34</v>
      </c>
    </row>
    <row r="73" spans="1:9" x14ac:dyDescent="0.2">
      <c r="A73" t="s">
        <v>20</v>
      </c>
      <c r="B73" s="1">
        <v>45146</v>
      </c>
      <c r="C73" t="s">
        <v>91</v>
      </c>
      <c r="D73" s="14">
        <v>11.93</v>
      </c>
      <c r="E73" s="14">
        <v>0</v>
      </c>
      <c r="F73" s="14">
        <f t="shared" si="1"/>
        <v>-11.93</v>
      </c>
      <c r="G73" t="s">
        <v>30</v>
      </c>
      <c r="H73" t="s">
        <v>28</v>
      </c>
      <c r="I73" t="s">
        <v>34</v>
      </c>
    </row>
    <row r="74" spans="1:9" x14ac:dyDescent="0.2">
      <c r="A74" t="s">
        <v>20</v>
      </c>
      <c r="B74" s="1">
        <v>45148</v>
      </c>
      <c r="C74" t="s">
        <v>92</v>
      </c>
      <c r="D74" s="14">
        <v>152.21</v>
      </c>
      <c r="E74" s="14">
        <v>0</v>
      </c>
      <c r="F74" s="14">
        <f t="shared" si="1"/>
        <v>-152.21</v>
      </c>
      <c r="G74" t="s">
        <v>30</v>
      </c>
      <c r="H74" t="s">
        <v>28</v>
      </c>
      <c r="I74" t="s">
        <v>34</v>
      </c>
    </row>
    <row r="75" spans="1:9" x14ac:dyDescent="0.2">
      <c r="A75" t="s">
        <v>20</v>
      </c>
      <c r="B75" s="1">
        <v>45114</v>
      </c>
      <c r="C75" t="s">
        <v>91</v>
      </c>
      <c r="D75" s="14">
        <v>9.89</v>
      </c>
      <c r="E75" s="14">
        <v>0</v>
      </c>
      <c r="F75" s="14">
        <f t="shared" si="1"/>
        <v>-9.89</v>
      </c>
      <c r="G75" t="s">
        <v>30</v>
      </c>
      <c r="H75" t="s">
        <v>28</v>
      </c>
      <c r="I75" t="s">
        <v>34</v>
      </c>
    </row>
    <row r="76" spans="1:9" x14ac:dyDescent="0.2">
      <c r="A76" t="s">
        <v>20</v>
      </c>
      <c r="B76" s="1">
        <v>45118</v>
      </c>
      <c r="C76" t="s">
        <v>92</v>
      </c>
      <c r="D76" s="14">
        <v>42.37</v>
      </c>
      <c r="E76" s="14">
        <v>0</v>
      </c>
      <c r="F76" s="14">
        <f t="shared" si="1"/>
        <v>-42.37</v>
      </c>
      <c r="G76" t="s">
        <v>30</v>
      </c>
      <c r="H76" t="s">
        <v>28</v>
      </c>
      <c r="I76" t="s">
        <v>34</v>
      </c>
    </row>
    <row r="77" spans="1:9" x14ac:dyDescent="0.2">
      <c r="A77" t="s">
        <v>20</v>
      </c>
      <c r="B77" s="1">
        <v>45152</v>
      </c>
      <c r="C77" t="s">
        <v>110</v>
      </c>
      <c r="D77" s="14">
        <v>2.5</v>
      </c>
      <c r="E77" s="14">
        <v>0</v>
      </c>
      <c r="F77" s="14">
        <f t="shared" si="1"/>
        <v>-2.5</v>
      </c>
      <c r="G77" t="s">
        <v>47</v>
      </c>
      <c r="H77" t="s">
        <v>23</v>
      </c>
      <c r="I77" t="s">
        <v>34</v>
      </c>
    </row>
    <row r="78" spans="1:9" x14ac:dyDescent="0.2">
      <c r="A78" t="s">
        <v>19</v>
      </c>
      <c r="B78" s="1">
        <v>45114</v>
      </c>
      <c r="C78" t="s">
        <v>129</v>
      </c>
      <c r="D78" s="14">
        <v>41.46</v>
      </c>
      <c r="E78" s="14">
        <v>0</v>
      </c>
      <c r="F78" s="14">
        <f t="shared" si="1"/>
        <v>-41.46</v>
      </c>
      <c r="G78" t="s">
        <v>10</v>
      </c>
      <c r="H78" t="s">
        <v>31</v>
      </c>
      <c r="I78" t="s">
        <v>34</v>
      </c>
    </row>
    <row r="79" spans="1:9" x14ac:dyDescent="0.2">
      <c r="A79" t="s">
        <v>19</v>
      </c>
      <c r="B79" s="1">
        <v>45117</v>
      </c>
      <c r="C79" t="s">
        <v>130</v>
      </c>
      <c r="D79" s="14">
        <v>63.8</v>
      </c>
      <c r="E79" s="14">
        <v>0</v>
      </c>
      <c r="F79" s="14">
        <f t="shared" si="1"/>
        <v>-63.8</v>
      </c>
      <c r="G79" t="s">
        <v>10</v>
      </c>
      <c r="H79" t="s">
        <v>31</v>
      </c>
      <c r="I79" t="s">
        <v>34</v>
      </c>
    </row>
    <row r="80" spans="1:9" x14ac:dyDescent="0.2">
      <c r="A80" t="s">
        <v>20</v>
      </c>
      <c r="B80" s="1">
        <v>45118</v>
      </c>
      <c r="C80" t="s">
        <v>131</v>
      </c>
      <c r="D80" s="14">
        <v>37.549999999999997</v>
      </c>
      <c r="E80" s="14">
        <v>0</v>
      </c>
      <c r="F80" s="14">
        <f t="shared" si="1"/>
        <v>-37.549999999999997</v>
      </c>
      <c r="G80" t="s">
        <v>10</v>
      </c>
      <c r="H80" t="s">
        <v>31</v>
      </c>
      <c r="I80" t="s">
        <v>34</v>
      </c>
    </row>
    <row r="81" spans="1:9" x14ac:dyDescent="0.2">
      <c r="A81" t="s">
        <v>19</v>
      </c>
      <c r="B81" s="1">
        <v>45128</v>
      </c>
      <c r="C81" t="s">
        <v>132</v>
      </c>
      <c r="D81" s="14">
        <v>59.34</v>
      </c>
      <c r="E81" s="14">
        <v>0</v>
      </c>
      <c r="F81" s="14">
        <f t="shared" si="1"/>
        <v>-59.34</v>
      </c>
      <c r="G81" t="s">
        <v>10</v>
      </c>
      <c r="H81" t="s">
        <v>31</v>
      </c>
      <c r="I81" t="s">
        <v>34</v>
      </c>
    </row>
    <row r="82" spans="1:9" x14ac:dyDescent="0.2">
      <c r="A82" t="s">
        <v>19</v>
      </c>
      <c r="B82" s="1">
        <v>45135</v>
      </c>
      <c r="C82" t="s">
        <v>133</v>
      </c>
      <c r="D82" s="14">
        <v>45</v>
      </c>
      <c r="E82" s="14">
        <v>0</v>
      </c>
      <c r="F82" s="14">
        <f t="shared" si="1"/>
        <v>-45</v>
      </c>
      <c r="G82" t="s">
        <v>10</v>
      </c>
      <c r="H82" t="s">
        <v>31</v>
      </c>
      <c r="I82" t="s">
        <v>34</v>
      </c>
    </row>
    <row r="83" spans="1:9" x14ac:dyDescent="0.2">
      <c r="A83" t="s">
        <v>19</v>
      </c>
      <c r="B83" s="1">
        <v>45170</v>
      </c>
      <c r="C83" t="s">
        <v>133</v>
      </c>
      <c r="D83" s="14">
        <v>50</v>
      </c>
      <c r="E83" s="14">
        <v>0</v>
      </c>
      <c r="F83" s="14">
        <f t="shared" si="1"/>
        <v>-50</v>
      </c>
      <c r="G83" t="s">
        <v>10</v>
      </c>
      <c r="H83" t="s">
        <v>31</v>
      </c>
      <c r="I83" t="s">
        <v>34</v>
      </c>
    </row>
    <row r="84" spans="1:9" x14ac:dyDescent="0.2">
      <c r="A84" t="s">
        <v>19</v>
      </c>
      <c r="B84" s="1">
        <v>45174</v>
      </c>
      <c r="C84" t="s">
        <v>133</v>
      </c>
      <c r="D84" s="14">
        <v>50</v>
      </c>
      <c r="E84" s="14">
        <v>0</v>
      </c>
      <c r="F84" s="14">
        <f t="shared" si="1"/>
        <v>-50</v>
      </c>
      <c r="G84" t="s">
        <v>10</v>
      </c>
      <c r="H84" t="s">
        <v>31</v>
      </c>
      <c r="I84" t="s">
        <v>34</v>
      </c>
    </row>
    <row r="85" spans="1:9" x14ac:dyDescent="0.2">
      <c r="A85" t="s">
        <v>19</v>
      </c>
      <c r="B85" s="1">
        <v>45184</v>
      </c>
      <c r="C85" t="s">
        <v>133</v>
      </c>
      <c r="D85" s="14">
        <v>48</v>
      </c>
      <c r="E85" s="14">
        <v>0</v>
      </c>
      <c r="F85" s="14">
        <f t="shared" si="1"/>
        <v>-48</v>
      </c>
      <c r="G85" t="s">
        <v>10</v>
      </c>
      <c r="H85" t="s">
        <v>31</v>
      </c>
      <c r="I85" t="s">
        <v>34</v>
      </c>
    </row>
    <row r="86" spans="1:9" x14ac:dyDescent="0.2">
      <c r="A86" t="s">
        <v>19</v>
      </c>
      <c r="B86" s="1">
        <v>45192</v>
      </c>
      <c r="C86" t="s">
        <v>133</v>
      </c>
      <c r="D86" s="14">
        <v>40.090000000000003</v>
      </c>
      <c r="E86" s="14">
        <v>0</v>
      </c>
      <c r="F86" s="14">
        <f t="shared" si="1"/>
        <v>-40.090000000000003</v>
      </c>
      <c r="G86" t="s">
        <v>10</v>
      </c>
      <c r="H86" t="s">
        <v>31</v>
      </c>
      <c r="I86" t="s">
        <v>34</v>
      </c>
    </row>
    <row r="87" spans="1:9" x14ac:dyDescent="0.2">
      <c r="A87" t="s">
        <v>19</v>
      </c>
      <c r="B87" s="1">
        <v>45197</v>
      </c>
      <c r="C87" t="s">
        <v>133</v>
      </c>
      <c r="D87" s="14">
        <v>40.090000000000003</v>
      </c>
      <c r="E87" s="14">
        <v>0</v>
      </c>
      <c r="F87" s="14">
        <f t="shared" si="1"/>
        <v>-40.090000000000003</v>
      </c>
      <c r="G87" t="s">
        <v>10</v>
      </c>
      <c r="H87" t="s">
        <v>31</v>
      </c>
      <c r="I87" t="s">
        <v>34</v>
      </c>
    </row>
    <row r="88" spans="1:9" x14ac:dyDescent="0.2">
      <c r="A88" t="s">
        <v>20</v>
      </c>
      <c r="B88" s="1">
        <v>45141</v>
      </c>
      <c r="C88" t="s">
        <v>131</v>
      </c>
      <c r="D88" s="14">
        <v>67.42</v>
      </c>
      <c r="E88" s="14">
        <v>0</v>
      </c>
      <c r="F88" s="14">
        <f t="shared" si="1"/>
        <v>-67.42</v>
      </c>
      <c r="G88" t="s">
        <v>10</v>
      </c>
      <c r="H88" t="s">
        <v>31</v>
      </c>
      <c r="I88" t="s">
        <v>34</v>
      </c>
    </row>
    <row r="89" spans="1:9" x14ac:dyDescent="0.2">
      <c r="A89" t="s">
        <v>19</v>
      </c>
      <c r="B89" s="1">
        <v>45152</v>
      </c>
      <c r="C89" t="s">
        <v>134</v>
      </c>
      <c r="D89" s="14">
        <v>7.77</v>
      </c>
      <c r="E89" s="14">
        <v>0</v>
      </c>
      <c r="F89" s="14">
        <f t="shared" si="1"/>
        <v>-7.77</v>
      </c>
      <c r="G89" t="s">
        <v>10</v>
      </c>
      <c r="H89" t="s">
        <v>31</v>
      </c>
      <c r="I89" t="s">
        <v>34</v>
      </c>
    </row>
    <row r="90" spans="1:9" x14ac:dyDescent="0.2">
      <c r="A90" t="s">
        <v>19</v>
      </c>
      <c r="B90" s="1">
        <v>45152</v>
      </c>
      <c r="C90" t="s">
        <v>133</v>
      </c>
      <c r="D90" s="14">
        <v>33.200000000000003</v>
      </c>
      <c r="E90" s="14">
        <v>0</v>
      </c>
      <c r="F90" s="14">
        <f t="shared" si="1"/>
        <v>-33.200000000000003</v>
      </c>
      <c r="G90" t="s">
        <v>10</v>
      </c>
      <c r="H90" t="s">
        <v>31</v>
      </c>
      <c r="I90" t="s">
        <v>34</v>
      </c>
    </row>
    <row r="91" spans="1:9" x14ac:dyDescent="0.2">
      <c r="A91" t="s">
        <v>19</v>
      </c>
      <c r="B91" s="1">
        <v>45152</v>
      </c>
      <c r="C91" t="s">
        <v>135</v>
      </c>
      <c r="D91" s="14">
        <v>50</v>
      </c>
      <c r="E91" s="14">
        <v>0</v>
      </c>
      <c r="F91" s="14">
        <f t="shared" si="1"/>
        <v>-50</v>
      </c>
      <c r="G91" t="s">
        <v>10</v>
      </c>
      <c r="H91" t="s">
        <v>31</v>
      </c>
      <c r="I91" t="s">
        <v>34</v>
      </c>
    </row>
    <row r="92" spans="1:9" x14ac:dyDescent="0.2">
      <c r="A92" t="s">
        <v>19</v>
      </c>
      <c r="B92" s="1">
        <v>45159</v>
      </c>
      <c r="C92" t="s">
        <v>136</v>
      </c>
      <c r="D92" s="14">
        <v>48.93</v>
      </c>
      <c r="E92" s="14">
        <v>0</v>
      </c>
      <c r="F92" s="14">
        <f t="shared" si="1"/>
        <v>-48.93</v>
      </c>
      <c r="G92" t="s">
        <v>10</v>
      </c>
      <c r="H92" t="s">
        <v>31</v>
      </c>
      <c r="I92" t="s">
        <v>34</v>
      </c>
    </row>
    <row r="93" spans="1:9" x14ac:dyDescent="0.2">
      <c r="A93" t="s">
        <v>19</v>
      </c>
      <c r="B93" s="1">
        <v>45161</v>
      </c>
      <c r="C93" t="s">
        <v>130</v>
      </c>
      <c r="D93" s="14">
        <v>58.2</v>
      </c>
      <c r="E93" s="14">
        <v>0</v>
      </c>
      <c r="F93" s="14">
        <f t="shared" si="1"/>
        <v>-58.2</v>
      </c>
      <c r="G93" t="s">
        <v>10</v>
      </c>
      <c r="H93" t="s">
        <v>31</v>
      </c>
      <c r="I93" t="s">
        <v>34</v>
      </c>
    </row>
    <row r="94" spans="1:9" x14ac:dyDescent="0.2">
      <c r="A94" t="s">
        <v>19</v>
      </c>
      <c r="B94" s="1">
        <v>45169</v>
      </c>
      <c r="C94" t="s">
        <v>130</v>
      </c>
      <c r="D94" s="14">
        <v>76.8</v>
      </c>
      <c r="E94" s="14">
        <v>0</v>
      </c>
      <c r="F94" s="14">
        <f t="shared" si="1"/>
        <v>-76.8</v>
      </c>
      <c r="G94" t="s">
        <v>10</v>
      </c>
      <c r="H94" t="s">
        <v>31</v>
      </c>
      <c r="I94" t="s">
        <v>34</v>
      </c>
    </row>
    <row r="95" spans="1:9" x14ac:dyDescent="0.2">
      <c r="A95" t="s">
        <v>19</v>
      </c>
      <c r="B95" s="1">
        <v>45185</v>
      </c>
      <c r="C95" t="s">
        <v>82</v>
      </c>
      <c r="D95" s="14">
        <v>0.54</v>
      </c>
      <c r="E95" s="14">
        <v>0</v>
      </c>
      <c r="F95" s="14">
        <f t="shared" si="1"/>
        <v>-0.54</v>
      </c>
      <c r="G95" t="s">
        <v>16</v>
      </c>
      <c r="H95" t="s">
        <v>23</v>
      </c>
      <c r="I95" t="s">
        <v>34</v>
      </c>
    </row>
    <row r="96" spans="1:9" x14ac:dyDescent="0.2">
      <c r="A96" t="s">
        <v>20</v>
      </c>
      <c r="B96" s="1">
        <v>45188</v>
      </c>
      <c r="C96" t="s">
        <v>83</v>
      </c>
      <c r="D96" s="14">
        <v>38.33</v>
      </c>
      <c r="E96" s="14">
        <v>0</v>
      </c>
      <c r="F96" s="14">
        <f t="shared" si="1"/>
        <v>-38.33</v>
      </c>
      <c r="G96" t="s">
        <v>16</v>
      </c>
      <c r="H96" t="s">
        <v>23</v>
      </c>
      <c r="I96" t="s">
        <v>34</v>
      </c>
    </row>
    <row r="97" spans="1:9" x14ac:dyDescent="0.2">
      <c r="A97" t="s">
        <v>19</v>
      </c>
      <c r="B97" s="1">
        <v>45150</v>
      </c>
      <c r="C97" t="s">
        <v>101</v>
      </c>
      <c r="D97" s="14">
        <v>1.93</v>
      </c>
      <c r="E97" s="14">
        <v>0</v>
      </c>
      <c r="F97" s="14">
        <f t="shared" si="1"/>
        <v>-1.93</v>
      </c>
      <c r="G97" t="s">
        <v>16</v>
      </c>
      <c r="H97" t="s">
        <v>23</v>
      </c>
      <c r="I97" t="s">
        <v>34</v>
      </c>
    </row>
    <row r="98" spans="1:9" x14ac:dyDescent="0.2">
      <c r="A98" t="s">
        <v>19</v>
      </c>
      <c r="B98" s="1">
        <v>45110</v>
      </c>
      <c r="C98" t="s">
        <v>137</v>
      </c>
      <c r="D98" s="14">
        <v>48.37</v>
      </c>
      <c r="E98" s="14">
        <v>0</v>
      </c>
      <c r="F98" s="14">
        <f t="shared" si="1"/>
        <v>-48.37</v>
      </c>
      <c r="G98" t="s">
        <v>16</v>
      </c>
      <c r="H98" t="s">
        <v>23</v>
      </c>
      <c r="I98" t="s">
        <v>34</v>
      </c>
    </row>
    <row r="99" spans="1:9" x14ac:dyDescent="0.2">
      <c r="A99" t="s">
        <v>19</v>
      </c>
      <c r="B99" s="1">
        <v>45142</v>
      </c>
      <c r="C99" t="s">
        <v>125</v>
      </c>
      <c r="D99" s="14">
        <v>20</v>
      </c>
      <c r="E99" s="14">
        <v>0</v>
      </c>
      <c r="F99" s="14">
        <f t="shared" si="1"/>
        <v>-20</v>
      </c>
      <c r="G99" t="s">
        <v>16</v>
      </c>
      <c r="H99" t="s">
        <v>23</v>
      </c>
      <c r="I99" t="s">
        <v>34</v>
      </c>
    </row>
    <row r="100" spans="1:9" x14ac:dyDescent="0.2">
      <c r="A100" t="s">
        <v>19</v>
      </c>
      <c r="B100" s="1">
        <v>45171</v>
      </c>
      <c r="C100" t="s">
        <v>93</v>
      </c>
      <c r="D100" s="14">
        <v>6.99</v>
      </c>
      <c r="E100" s="14">
        <v>0</v>
      </c>
      <c r="F100" s="14">
        <f t="shared" si="1"/>
        <v>-6.99</v>
      </c>
      <c r="G100" t="s">
        <v>35</v>
      </c>
      <c r="H100" t="s">
        <v>28</v>
      </c>
      <c r="I100" t="s">
        <v>34</v>
      </c>
    </row>
    <row r="101" spans="1:9" x14ac:dyDescent="0.2">
      <c r="A101" t="s">
        <v>19</v>
      </c>
      <c r="B101" s="1">
        <v>45173</v>
      </c>
      <c r="C101" t="s">
        <v>92</v>
      </c>
      <c r="D101" s="14">
        <v>24.97</v>
      </c>
      <c r="E101" s="14">
        <v>0</v>
      </c>
      <c r="F101" s="14">
        <f t="shared" si="1"/>
        <v>-24.97</v>
      </c>
      <c r="G101" t="s">
        <v>35</v>
      </c>
      <c r="H101" t="s">
        <v>28</v>
      </c>
      <c r="I101" t="s">
        <v>34</v>
      </c>
    </row>
    <row r="102" spans="1:9" x14ac:dyDescent="0.2">
      <c r="A102" t="s">
        <v>19</v>
      </c>
      <c r="B102" s="1">
        <v>45173</v>
      </c>
      <c r="C102" t="s">
        <v>94</v>
      </c>
      <c r="D102" s="14">
        <v>3.99</v>
      </c>
      <c r="E102" s="14">
        <v>0</v>
      </c>
      <c r="F102" s="14">
        <f t="shared" si="1"/>
        <v>-3.99</v>
      </c>
      <c r="G102" t="s">
        <v>35</v>
      </c>
      <c r="H102" t="s">
        <v>28</v>
      </c>
      <c r="I102" t="s">
        <v>34</v>
      </c>
    </row>
    <row r="103" spans="1:9" x14ac:dyDescent="0.2">
      <c r="A103" t="s">
        <v>19</v>
      </c>
      <c r="B103" s="1">
        <v>45173</v>
      </c>
      <c r="C103" t="s">
        <v>94</v>
      </c>
      <c r="D103" s="14">
        <v>17.84</v>
      </c>
      <c r="E103" s="14">
        <v>0</v>
      </c>
      <c r="F103" s="14">
        <f t="shared" si="1"/>
        <v>-17.84</v>
      </c>
      <c r="G103" t="s">
        <v>35</v>
      </c>
      <c r="H103" t="s">
        <v>28</v>
      </c>
      <c r="I103" t="s">
        <v>34</v>
      </c>
    </row>
    <row r="104" spans="1:9" x14ac:dyDescent="0.2">
      <c r="A104" t="s">
        <v>20</v>
      </c>
      <c r="B104" s="1">
        <v>45174</v>
      </c>
      <c r="C104" t="s">
        <v>95</v>
      </c>
      <c r="D104" s="14">
        <v>10</v>
      </c>
      <c r="E104" s="14">
        <v>0</v>
      </c>
      <c r="F104" s="14">
        <f t="shared" si="1"/>
        <v>-10</v>
      </c>
      <c r="G104" t="s">
        <v>35</v>
      </c>
      <c r="H104" t="s">
        <v>28</v>
      </c>
      <c r="I104" t="s">
        <v>34</v>
      </c>
    </row>
    <row r="105" spans="1:9" x14ac:dyDescent="0.2">
      <c r="A105" t="s">
        <v>19</v>
      </c>
      <c r="B105" s="1">
        <v>45176</v>
      </c>
      <c r="C105" t="s">
        <v>96</v>
      </c>
      <c r="D105" s="14">
        <v>17.47</v>
      </c>
      <c r="E105" s="14">
        <v>0</v>
      </c>
      <c r="F105" s="14">
        <f t="shared" si="1"/>
        <v>-17.47</v>
      </c>
      <c r="G105" t="s">
        <v>35</v>
      </c>
      <c r="H105" t="s">
        <v>28</v>
      </c>
      <c r="I105" t="s">
        <v>34</v>
      </c>
    </row>
    <row r="106" spans="1:9" x14ac:dyDescent="0.2">
      <c r="A106" t="s">
        <v>19</v>
      </c>
      <c r="B106" s="1">
        <v>45180</v>
      </c>
      <c r="C106" t="s">
        <v>94</v>
      </c>
      <c r="D106" s="14">
        <v>18.25</v>
      </c>
      <c r="E106" s="14">
        <v>0</v>
      </c>
      <c r="F106" s="14">
        <f t="shared" si="1"/>
        <v>-18.25</v>
      </c>
      <c r="G106" t="s">
        <v>35</v>
      </c>
      <c r="H106" t="s">
        <v>28</v>
      </c>
      <c r="I106" t="s">
        <v>34</v>
      </c>
    </row>
    <row r="107" spans="1:9" x14ac:dyDescent="0.2">
      <c r="A107" t="s">
        <v>19</v>
      </c>
      <c r="B107" s="1">
        <v>45180</v>
      </c>
      <c r="C107" t="s">
        <v>96</v>
      </c>
      <c r="D107" s="14">
        <v>20.47</v>
      </c>
      <c r="E107" s="14">
        <v>0</v>
      </c>
      <c r="F107" s="14">
        <f t="shared" si="1"/>
        <v>-20.47</v>
      </c>
      <c r="G107" t="s">
        <v>35</v>
      </c>
      <c r="H107" t="s">
        <v>28</v>
      </c>
      <c r="I107" t="s">
        <v>34</v>
      </c>
    </row>
    <row r="108" spans="1:9" x14ac:dyDescent="0.2">
      <c r="A108" t="s">
        <v>20</v>
      </c>
      <c r="B108" s="1">
        <v>45182</v>
      </c>
      <c r="C108" t="s">
        <v>83</v>
      </c>
      <c r="D108" s="14">
        <v>12.82</v>
      </c>
      <c r="E108" s="14">
        <v>0</v>
      </c>
      <c r="F108" s="14">
        <f t="shared" si="1"/>
        <v>-12.82</v>
      </c>
      <c r="G108" t="s">
        <v>35</v>
      </c>
      <c r="H108" t="s">
        <v>28</v>
      </c>
      <c r="I108" t="s">
        <v>34</v>
      </c>
    </row>
    <row r="109" spans="1:9" x14ac:dyDescent="0.2">
      <c r="A109" t="s">
        <v>19</v>
      </c>
      <c r="B109" s="1">
        <v>45187</v>
      </c>
      <c r="C109" t="s">
        <v>94</v>
      </c>
      <c r="D109" s="14">
        <v>16.45</v>
      </c>
      <c r="E109" s="14">
        <v>0</v>
      </c>
      <c r="F109" s="14">
        <f t="shared" si="1"/>
        <v>-16.45</v>
      </c>
      <c r="G109" t="s">
        <v>35</v>
      </c>
      <c r="H109" t="s">
        <v>28</v>
      </c>
      <c r="I109" t="s">
        <v>34</v>
      </c>
    </row>
    <row r="110" spans="1:9" x14ac:dyDescent="0.2">
      <c r="A110" t="s">
        <v>19</v>
      </c>
      <c r="B110" s="1">
        <v>45187</v>
      </c>
      <c r="C110" t="s">
        <v>97</v>
      </c>
      <c r="D110" s="14">
        <v>88.93</v>
      </c>
      <c r="E110" s="14">
        <v>0</v>
      </c>
      <c r="F110" s="14">
        <f t="shared" si="1"/>
        <v>-88.93</v>
      </c>
      <c r="G110" t="s">
        <v>35</v>
      </c>
      <c r="H110" t="s">
        <v>28</v>
      </c>
      <c r="I110" t="s">
        <v>34</v>
      </c>
    </row>
    <row r="111" spans="1:9" x14ac:dyDescent="0.2">
      <c r="A111" t="s">
        <v>20</v>
      </c>
      <c r="B111" s="1">
        <v>45187</v>
      </c>
      <c r="C111" t="s">
        <v>83</v>
      </c>
      <c r="D111" s="14">
        <v>91.17</v>
      </c>
      <c r="E111" s="14">
        <v>0</v>
      </c>
      <c r="F111" s="14">
        <f t="shared" si="1"/>
        <v>-91.17</v>
      </c>
      <c r="G111" t="s">
        <v>35</v>
      </c>
      <c r="H111" t="s">
        <v>28</v>
      </c>
      <c r="I111" t="s">
        <v>34</v>
      </c>
    </row>
    <row r="112" spans="1:9" x14ac:dyDescent="0.2">
      <c r="A112" t="s">
        <v>20</v>
      </c>
      <c r="B112" s="1">
        <v>45188</v>
      </c>
      <c r="C112" t="s">
        <v>83</v>
      </c>
      <c r="D112" s="14">
        <v>17.5</v>
      </c>
      <c r="E112" s="14">
        <v>0</v>
      </c>
      <c r="F112" s="14">
        <f t="shared" si="1"/>
        <v>-17.5</v>
      </c>
      <c r="G112" t="s">
        <v>35</v>
      </c>
      <c r="H112" t="s">
        <v>28</v>
      </c>
      <c r="I112" t="s">
        <v>34</v>
      </c>
    </row>
    <row r="113" spans="1:9" x14ac:dyDescent="0.2">
      <c r="A113" t="s">
        <v>20</v>
      </c>
      <c r="B113" s="1">
        <v>45191</v>
      </c>
      <c r="C113" t="s">
        <v>83</v>
      </c>
      <c r="D113" s="14">
        <v>54.29</v>
      </c>
      <c r="E113" s="14">
        <v>0</v>
      </c>
      <c r="F113" s="14">
        <f t="shared" si="1"/>
        <v>-54.29</v>
      </c>
      <c r="G113" t="s">
        <v>35</v>
      </c>
      <c r="H113" t="s">
        <v>28</v>
      </c>
      <c r="I113" t="s">
        <v>34</v>
      </c>
    </row>
    <row r="114" spans="1:9" x14ac:dyDescent="0.2">
      <c r="A114" t="s">
        <v>19</v>
      </c>
      <c r="B114" s="1">
        <v>45117</v>
      </c>
      <c r="C114" t="s">
        <v>92</v>
      </c>
      <c r="D114" s="14">
        <v>24.32</v>
      </c>
      <c r="E114" s="14">
        <v>0</v>
      </c>
      <c r="F114" s="14">
        <f t="shared" si="1"/>
        <v>-24.32</v>
      </c>
      <c r="G114" t="s">
        <v>35</v>
      </c>
      <c r="H114" t="s">
        <v>28</v>
      </c>
      <c r="I114" t="s">
        <v>34</v>
      </c>
    </row>
    <row r="115" spans="1:9" x14ac:dyDescent="0.2">
      <c r="A115" t="s">
        <v>19</v>
      </c>
      <c r="B115" s="1">
        <v>45117</v>
      </c>
      <c r="C115" t="s">
        <v>94</v>
      </c>
      <c r="D115" s="14">
        <v>13.46</v>
      </c>
      <c r="E115" s="14">
        <v>0</v>
      </c>
      <c r="F115" s="14">
        <f t="shared" si="1"/>
        <v>-13.46</v>
      </c>
      <c r="G115" t="s">
        <v>35</v>
      </c>
      <c r="H115" t="s">
        <v>28</v>
      </c>
      <c r="I115" t="s">
        <v>34</v>
      </c>
    </row>
    <row r="116" spans="1:9" x14ac:dyDescent="0.2">
      <c r="A116" t="s">
        <v>19</v>
      </c>
      <c r="B116" s="1">
        <v>45120</v>
      </c>
      <c r="C116" t="s">
        <v>138</v>
      </c>
      <c r="D116" s="14">
        <v>4.57</v>
      </c>
      <c r="E116" s="14">
        <v>0</v>
      </c>
      <c r="F116" s="14">
        <f t="shared" si="1"/>
        <v>-4.57</v>
      </c>
      <c r="G116" t="s">
        <v>35</v>
      </c>
      <c r="H116" t="s">
        <v>28</v>
      </c>
      <c r="I116" t="s">
        <v>34</v>
      </c>
    </row>
    <row r="117" spans="1:9" x14ac:dyDescent="0.2">
      <c r="A117" t="s">
        <v>19</v>
      </c>
      <c r="B117" s="1">
        <v>45121</v>
      </c>
      <c r="C117" t="s">
        <v>94</v>
      </c>
      <c r="D117" s="14">
        <v>17.23</v>
      </c>
      <c r="E117" s="14">
        <v>0</v>
      </c>
      <c r="F117" s="14">
        <f t="shared" si="1"/>
        <v>-17.23</v>
      </c>
      <c r="G117" t="s">
        <v>35</v>
      </c>
      <c r="H117" t="s">
        <v>28</v>
      </c>
      <c r="I117" t="s">
        <v>34</v>
      </c>
    </row>
    <row r="118" spans="1:9" x14ac:dyDescent="0.2">
      <c r="A118" t="s">
        <v>19</v>
      </c>
      <c r="B118" s="1">
        <v>45124</v>
      </c>
      <c r="C118" t="s">
        <v>94</v>
      </c>
      <c r="D118" s="14">
        <v>13.27</v>
      </c>
      <c r="E118" s="14">
        <v>0</v>
      </c>
      <c r="F118" s="14">
        <f t="shared" si="1"/>
        <v>-13.27</v>
      </c>
      <c r="G118" t="s">
        <v>35</v>
      </c>
      <c r="H118" t="s">
        <v>28</v>
      </c>
      <c r="I118" t="s">
        <v>34</v>
      </c>
    </row>
    <row r="119" spans="1:9" x14ac:dyDescent="0.2">
      <c r="A119" t="s">
        <v>19</v>
      </c>
      <c r="B119" s="1">
        <v>45124</v>
      </c>
      <c r="C119" t="s">
        <v>97</v>
      </c>
      <c r="D119" s="14">
        <v>66.56</v>
      </c>
      <c r="E119" s="14">
        <v>0</v>
      </c>
      <c r="F119" s="14">
        <f t="shared" si="1"/>
        <v>-66.56</v>
      </c>
      <c r="G119" t="s">
        <v>35</v>
      </c>
      <c r="H119" t="s">
        <v>28</v>
      </c>
      <c r="I119" t="s">
        <v>34</v>
      </c>
    </row>
    <row r="120" spans="1:9" x14ac:dyDescent="0.2">
      <c r="A120" t="s">
        <v>19</v>
      </c>
      <c r="B120" s="1">
        <v>45125</v>
      </c>
      <c r="C120" t="s">
        <v>139</v>
      </c>
      <c r="D120" s="14">
        <v>11.87</v>
      </c>
      <c r="E120" s="14">
        <v>0</v>
      </c>
      <c r="F120" s="14">
        <f t="shared" si="1"/>
        <v>-11.87</v>
      </c>
      <c r="G120" t="s">
        <v>35</v>
      </c>
      <c r="H120" t="s">
        <v>28</v>
      </c>
      <c r="I120" t="s">
        <v>34</v>
      </c>
    </row>
    <row r="121" spans="1:9" x14ac:dyDescent="0.2">
      <c r="A121" t="s">
        <v>19</v>
      </c>
      <c r="B121" s="1">
        <v>45127</v>
      </c>
      <c r="C121" t="s">
        <v>140</v>
      </c>
      <c r="D121" s="14">
        <v>5.79</v>
      </c>
      <c r="E121" s="14">
        <v>0</v>
      </c>
      <c r="F121" s="14">
        <f t="shared" si="1"/>
        <v>-5.79</v>
      </c>
      <c r="G121" t="s">
        <v>35</v>
      </c>
      <c r="H121" t="s">
        <v>28</v>
      </c>
      <c r="I121" t="s">
        <v>34</v>
      </c>
    </row>
    <row r="122" spans="1:9" x14ac:dyDescent="0.2">
      <c r="A122" t="s">
        <v>19</v>
      </c>
      <c r="B122" s="1">
        <v>45128</v>
      </c>
      <c r="C122" t="s">
        <v>94</v>
      </c>
      <c r="D122" s="14">
        <v>10.44</v>
      </c>
      <c r="E122" s="14">
        <v>0</v>
      </c>
      <c r="F122" s="14">
        <f t="shared" si="1"/>
        <v>-10.44</v>
      </c>
      <c r="G122" t="s">
        <v>35</v>
      </c>
      <c r="H122" t="s">
        <v>28</v>
      </c>
      <c r="I122" t="s">
        <v>34</v>
      </c>
    </row>
    <row r="123" spans="1:9" x14ac:dyDescent="0.2">
      <c r="A123" t="s">
        <v>19</v>
      </c>
      <c r="B123" s="1">
        <v>45131</v>
      </c>
      <c r="C123" t="s">
        <v>141</v>
      </c>
      <c r="D123" s="14">
        <v>33.81</v>
      </c>
      <c r="E123" s="14">
        <v>0</v>
      </c>
      <c r="F123" s="14">
        <f t="shared" si="1"/>
        <v>-33.81</v>
      </c>
      <c r="G123" t="s">
        <v>35</v>
      </c>
      <c r="H123" t="s">
        <v>28</v>
      </c>
      <c r="I123" t="s">
        <v>34</v>
      </c>
    </row>
    <row r="124" spans="1:9" x14ac:dyDescent="0.2">
      <c r="A124" t="s">
        <v>19</v>
      </c>
      <c r="B124" s="1">
        <v>45131</v>
      </c>
      <c r="C124" t="s">
        <v>94</v>
      </c>
      <c r="D124" s="14">
        <v>31.28</v>
      </c>
      <c r="E124" s="14">
        <v>0</v>
      </c>
      <c r="F124" s="14">
        <f t="shared" si="1"/>
        <v>-31.28</v>
      </c>
      <c r="G124" t="s">
        <v>35</v>
      </c>
      <c r="H124" t="s">
        <v>28</v>
      </c>
      <c r="I124" t="s">
        <v>34</v>
      </c>
    </row>
    <row r="125" spans="1:9" x14ac:dyDescent="0.2">
      <c r="A125" t="s">
        <v>19</v>
      </c>
      <c r="B125" s="1">
        <v>45131</v>
      </c>
      <c r="C125" t="s">
        <v>76</v>
      </c>
      <c r="D125" s="14">
        <v>47.75</v>
      </c>
      <c r="E125" s="14">
        <v>0</v>
      </c>
      <c r="F125" s="14">
        <f t="shared" si="1"/>
        <v>-47.75</v>
      </c>
      <c r="G125" t="s">
        <v>35</v>
      </c>
      <c r="H125" t="s">
        <v>28</v>
      </c>
      <c r="I125" t="s">
        <v>34</v>
      </c>
    </row>
    <row r="126" spans="1:9" x14ac:dyDescent="0.2">
      <c r="A126" t="s">
        <v>19</v>
      </c>
      <c r="B126" s="1">
        <v>45133</v>
      </c>
      <c r="C126" t="s">
        <v>94</v>
      </c>
      <c r="D126" s="14">
        <v>13.93</v>
      </c>
      <c r="E126" s="14">
        <v>0</v>
      </c>
      <c r="F126" s="14">
        <f t="shared" si="1"/>
        <v>-13.93</v>
      </c>
      <c r="G126" t="s">
        <v>35</v>
      </c>
      <c r="H126" t="s">
        <v>28</v>
      </c>
      <c r="I126" t="s">
        <v>34</v>
      </c>
    </row>
    <row r="127" spans="1:9" x14ac:dyDescent="0.2">
      <c r="A127" t="s">
        <v>19</v>
      </c>
      <c r="B127" s="1">
        <v>45135</v>
      </c>
      <c r="C127" t="s">
        <v>138</v>
      </c>
      <c r="D127" s="14">
        <v>25.31</v>
      </c>
      <c r="E127" s="14">
        <v>0</v>
      </c>
      <c r="F127" s="14">
        <f t="shared" si="1"/>
        <v>-25.31</v>
      </c>
      <c r="G127" t="s">
        <v>35</v>
      </c>
      <c r="H127" t="s">
        <v>28</v>
      </c>
      <c r="I127" t="s">
        <v>34</v>
      </c>
    </row>
    <row r="128" spans="1:9" x14ac:dyDescent="0.2">
      <c r="A128" t="s">
        <v>19</v>
      </c>
      <c r="B128" s="1">
        <v>45135</v>
      </c>
      <c r="C128" t="s">
        <v>93</v>
      </c>
      <c r="D128" s="14">
        <v>4.99</v>
      </c>
      <c r="E128" s="14">
        <v>0</v>
      </c>
      <c r="F128" s="14">
        <f t="shared" si="1"/>
        <v>-4.99</v>
      </c>
      <c r="G128" t="s">
        <v>35</v>
      </c>
      <c r="H128" t="s">
        <v>28</v>
      </c>
      <c r="I128" t="s">
        <v>34</v>
      </c>
    </row>
    <row r="129" spans="1:9" x14ac:dyDescent="0.2">
      <c r="A129" t="s">
        <v>19</v>
      </c>
      <c r="B129" s="1">
        <v>45135</v>
      </c>
      <c r="C129" t="s">
        <v>142</v>
      </c>
      <c r="D129" s="14">
        <v>6.49</v>
      </c>
      <c r="E129" s="14">
        <v>0</v>
      </c>
      <c r="F129" s="14">
        <f t="shared" si="1"/>
        <v>-6.49</v>
      </c>
      <c r="G129" t="s">
        <v>35</v>
      </c>
      <c r="H129" t="s">
        <v>28</v>
      </c>
      <c r="I129" t="s">
        <v>34</v>
      </c>
    </row>
    <row r="130" spans="1:9" x14ac:dyDescent="0.2">
      <c r="A130" t="s">
        <v>19</v>
      </c>
      <c r="B130" s="1">
        <v>45138</v>
      </c>
      <c r="C130" t="s">
        <v>143</v>
      </c>
      <c r="D130" s="14">
        <v>12.41</v>
      </c>
      <c r="E130" s="14">
        <v>0</v>
      </c>
      <c r="F130" s="14">
        <f t="shared" ref="F130:F193" si="2">E130-D130</f>
        <v>-12.41</v>
      </c>
      <c r="G130" t="s">
        <v>35</v>
      </c>
      <c r="H130" t="s">
        <v>28</v>
      </c>
      <c r="I130" t="s">
        <v>34</v>
      </c>
    </row>
    <row r="131" spans="1:9" x14ac:dyDescent="0.2">
      <c r="A131" t="s">
        <v>19</v>
      </c>
      <c r="B131" s="1">
        <v>45138</v>
      </c>
      <c r="C131" t="s">
        <v>94</v>
      </c>
      <c r="D131" s="14">
        <v>6.98</v>
      </c>
      <c r="E131" s="14">
        <v>0</v>
      </c>
      <c r="F131" s="14">
        <f t="shared" si="2"/>
        <v>-6.98</v>
      </c>
      <c r="G131" t="s">
        <v>35</v>
      </c>
      <c r="H131" t="s">
        <v>28</v>
      </c>
      <c r="I131" t="s">
        <v>34</v>
      </c>
    </row>
    <row r="132" spans="1:9" x14ac:dyDescent="0.2">
      <c r="A132" t="s">
        <v>19</v>
      </c>
      <c r="B132" s="1">
        <v>45138</v>
      </c>
      <c r="C132" t="s">
        <v>144</v>
      </c>
      <c r="D132" s="14">
        <v>5</v>
      </c>
      <c r="E132" s="14">
        <v>0</v>
      </c>
      <c r="F132" s="14">
        <f t="shared" si="2"/>
        <v>-5</v>
      </c>
      <c r="G132" t="s">
        <v>35</v>
      </c>
      <c r="H132" t="s">
        <v>28</v>
      </c>
      <c r="I132" t="s">
        <v>34</v>
      </c>
    </row>
    <row r="133" spans="1:9" x14ac:dyDescent="0.2">
      <c r="A133" t="s">
        <v>20</v>
      </c>
      <c r="B133" s="1">
        <v>45138</v>
      </c>
      <c r="C133" t="s">
        <v>83</v>
      </c>
      <c r="D133" s="14">
        <v>56.71</v>
      </c>
      <c r="E133" s="14">
        <v>0</v>
      </c>
      <c r="F133" s="14">
        <f t="shared" si="2"/>
        <v>-56.71</v>
      </c>
      <c r="G133" t="s">
        <v>35</v>
      </c>
      <c r="H133" t="s">
        <v>28</v>
      </c>
      <c r="I133" t="s">
        <v>34</v>
      </c>
    </row>
    <row r="134" spans="1:9" x14ac:dyDescent="0.2">
      <c r="A134" t="s">
        <v>19</v>
      </c>
      <c r="B134" s="1">
        <v>45143</v>
      </c>
      <c r="C134" t="s">
        <v>94</v>
      </c>
      <c r="D134" s="14">
        <v>41.47</v>
      </c>
      <c r="E134" s="14">
        <v>0</v>
      </c>
      <c r="F134" s="14">
        <f t="shared" si="2"/>
        <v>-41.47</v>
      </c>
      <c r="G134" t="s">
        <v>35</v>
      </c>
      <c r="H134" t="s">
        <v>28</v>
      </c>
      <c r="I134" t="s">
        <v>34</v>
      </c>
    </row>
    <row r="135" spans="1:9" x14ac:dyDescent="0.2">
      <c r="A135" t="s">
        <v>19</v>
      </c>
      <c r="B135" s="1">
        <v>45147</v>
      </c>
      <c r="C135" t="s">
        <v>93</v>
      </c>
      <c r="D135" s="14">
        <v>8.98</v>
      </c>
      <c r="E135" s="14">
        <v>0</v>
      </c>
      <c r="F135" s="14">
        <f t="shared" si="2"/>
        <v>-8.98</v>
      </c>
      <c r="G135" t="s">
        <v>35</v>
      </c>
      <c r="H135" t="s">
        <v>28</v>
      </c>
      <c r="I135" t="s">
        <v>34</v>
      </c>
    </row>
    <row r="136" spans="1:9" x14ac:dyDescent="0.2">
      <c r="A136" t="s">
        <v>19</v>
      </c>
      <c r="B136" s="1">
        <v>45148</v>
      </c>
      <c r="C136" t="s">
        <v>94</v>
      </c>
      <c r="D136" s="14">
        <v>23.41</v>
      </c>
      <c r="E136" s="14">
        <v>0</v>
      </c>
      <c r="F136" s="14">
        <f t="shared" si="2"/>
        <v>-23.41</v>
      </c>
      <c r="G136" t="s">
        <v>35</v>
      </c>
      <c r="H136" t="s">
        <v>28</v>
      </c>
      <c r="I136" t="s">
        <v>34</v>
      </c>
    </row>
    <row r="137" spans="1:9" x14ac:dyDescent="0.2">
      <c r="A137" t="s">
        <v>19</v>
      </c>
      <c r="B137" s="1">
        <v>45149</v>
      </c>
      <c r="C137" t="s">
        <v>96</v>
      </c>
      <c r="D137" s="14">
        <v>14.98</v>
      </c>
      <c r="E137" s="14">
        <v>0</v>
      </c>
      <c r="F137" s="14">
        <f t="shared" si="2"/>
        <v>-14.98</v>
      </c>
      <c r="G137" t="s">
        <v>35</v>
      </c>
      <c r="H137" t="s">
        <v>28</v>
      </c>
      <c r="I137" t="s">
        <v>34</v>
      </c>
    </row>
    <row r="138" spans="1:9" x14ac:dyDescent="0.2">
      <c r="A138" t="s">
        <v>19</v>
      </c>
      <c r="B138" s="1">
        <v>45152</v>
      </c>
      <c r="C138" t="s">
        <v>145</v>
      </c>
      <c r="D138" s="14">
        <v>0</v>
      </c>
      <c r="E138" s="14">
        <v>143.22</v>
      </c>
      <c r="F138" s="14">
        <f t="shared" si="2"/>
        <v>143.22</v>
      </c>
      <c r="G138" t="s">
        <v>35</v>
      </c>
      <c r="H138" t="s">
        <v>28</v>
      </c>
      <c r="I138" t="s">
        <v>34</v>
      </c>
    </row>
    <row r="139" spans="1:9" x14ac:dyDescent="0.2">
      <c r="A139" t="s">
        <v>19</v>
      </c>
      <c r="B139" s="1">
        <v>45154</v>
      </c>
      <c r="C139" t="s">
        <v>94</v>
      </c>
      <c r="D139" s="14">
        <v>3.99</v>
      </c>
      <c r="E139" s="14">
        <v>0</v>
      </c>
      <c r="F139" s="14">
        <f t="shared" si="2"/>
        <v>-3.99</v>
      </c>
      <c r="G139" t="s">
        <v>35</v>
      </c>
      <c r="H139" t="s">
        <v>28</v>
      </c>
      <c r="I139" t="s">
        <v>34</v>
      </c>
    </row>
    <row r="140" spans="1:9" x14ac:dyDescent="0.2">
      <c r="A140" t="s">
        <v>19</v>
      </c>
      <c r="B140" s="1">
        <v>45154</v>
      </c>
      <c r="C140" t="s">
        <v>94</v>
      </c>
      <c r="D140" s="14">
        <v>13.32</v>
      </c>
      <c r="E140" s="14">
        <v>0</v>
      </c>
      <c r="F140" s="14">
        <f t="shared" si="2"/>
        <v>-13.32</v>
      </c>
      <c r="G140" t="s">
        <v>35</v>
      </c>
      <c r="H140" t="s">
        <v>28</v>
      </c>
      <c r="I140" t="s">
        <v>34</v>
      </c>
    </row>
    <row r="141" spans="1:9" x14ac:dyDescent="0.2">
      <c r="A141" t="s">
        <v>19</v>
      </c>
      <c r="B141" s="1">
        <v>45155</v>
      </c>
      <c r="C141" t="s">
        <v>94</v>
      </c>
      <c r="D141" s="14">
        <v>12.47</v>
      </c>
      <c r="E141" s="14">
        <v>0</v>
      </c>
      <c r="F141" s="14">
        <f t="shared" si="2"/>
        <v>-12.47</v>
      </c>
      <c r="G141" t="s">
        <v>35</v>
      </c>
      <c r="H141" t="s">
        <v>28</v>
      </c>
      <c r="I141" t="s">
        <v>34</v>
      </c>
    </row>
    <row r="142" spans="1:9" x14ac:dyDescent="0.2">
      <c r="A142" t="s">
        <v>19</v>
      </c>
      <c r="B142" s="1">
        <v>45155</v>
      </c>
      <c r="C142" t="s">
        <v>146</v>
      </c>
      <c r="D142" s="14">
        <v>1.34</v>
      </c>
      <c r="E142" s="14">
        <v>0</v>
      </c>
      <c r="F142" s="14">
        <f t="shared" si="2"/>
        <v>-1.34</v>
      </c>
      <c r="G142" t="s">
        <v>35</v>
      </c>
      <c r="H142" t="s">
        <v>28</v>
      </c>
      <c r="I142" t="s">
        <v>34</v>
      </c>
    </row>
    <row r="143" spans="1:9" x14ac:dyDescent="0.2">
      <c r="A143" t="s">
        <v>19</v>
      </c>
      <c r="B143" s="1">
        <v>45155</v>
      </c>
      <c r="C143" t="s">
        <v>96</v>
      </c>
      <c r="D143" s="14">
        <v>17.47</v>
      </c>
      <c r="E143" s="14">
        <v>0</v>
      </c>
      <c r="F143" s="14">
        <f t="shared" si="2"/>
        <v>-17.47</v>
      </c>
      <c r="G143" t="s">
        <v>35</v>
      </c>
      <c r="H143" t="s">
        <v>28</v>
      </c>
      <c r="I143" t="s">
        <v>34</v>
      </c>
    </row>
    <row r="144" spans="1:9" x14ac:dyDescent="0.2">
      <c r="A144" t="s">
        <v>19</v>
      </c>
      <c r="B144" s="1">
        <v>45157</v>
      </c>
      <c r="C144" t="s">
        <v>94</v>
      </c>
      <c r="D144" s="14">
        <v>10.26</v>
      </c>
      <c r="E144" s="14">
        <v>0</v>
      </c>
      <c r="F144" s="14">
        <f t="shared" si="2"/>
        <v>-10.26</v>
      </c>
      <c r="G144" t="s">
        <v>35</v>
      </c>
      <c r="H144" t="s">
        <v>28</v>
      </c>
      <c r="I144" t="s">
        <v>34</v>
      </c>
    </row>
    <row r="145" spans="1:9" x14ac:dyDescent="0.2">
      <c r="A145" t="s">
        <v>19</v>
      </c>
      <c r="B145" s="1">
        <v>45159</v>
      </c>
      <c r="C145" t="s">
        <v>97</v>
      </c>
      <c r="D145" s="14">
        <v>85.58</v>
      </c>
      <c r="E145" s="14">
        <v>0</v>
      </c>
      <c r="F145" s="14">
        <f t="shared" si="2"/>
        <v>-85.58</v>
      </c>
      <c r="G145" t="s">
        <v>35</v>
      </c>
      <c r="H145" t="s">
        <v>28</v>
      </c>
      <c r="I145" t="s">
        <v>34</v>
      </c>
    </row>
    <row r="146" spans="1:9" x14ac:dyDescent="0.2">
      <c r="A146" t="s">
        <v>20</v>
      </c>
      <c r="B146" s="1">
        <v>45159</v>
      </c>
      <c r="C146" t="s">
        <v>83</v>
      </c>
      <c r="D146" s="14">
        <v>106.9</v>
      </c>
      <c r="E146" s="14">
        <v>0</v>
      </c>
      <c r="F146" s="14">
        <f t="shared" si="2"/>
        <v>-106.9</v>
      </c>
      <c r="G146" t="s">
        <v>35</v>
      </c>
      <c r="H146" t="s">
        <v>28</v>
      </c>
      <c r="I146" t="s">
        <v>34</v>
      </c>
    </row>
    <row r="147" spans="1:9" x14ac:dyDescent="0.2">
      <c r="A147" t="s">
        <v>20</v>
      </c>
      <c r="B147" s="1">
        <v>45189</v>
      </c>
      <c r="C147" t="s">
        <v>83</v>
      </c>
      <c r="D147" s="14">
        <v>106.9</v>
      </c>
      <c r="E147" s="14">
        <v>0</v>
      </c>
      <c r="F147" s="14">
        <f t="shared" si="2"/>
        <v>-106.9</v>
      </c>
      <c r="G147" t="s">
        <v>35</v>
      </c>
      <c r="H147" t="s">
        <v>28</v>
      </c>
      <c r="I147" t="s">
        <v>34</v>
      </c>
    </row>
    <row r="148" spans="1:9" x14ac:dyDescent="0.2">
      <c r="A148" t="s">
        <v>20</v>
      </c>
      <c r="B148" s="1">
        <v>45189</v>
      </c>
      <c r="C148" t="s">
        <v>83</v>
      </c>
      <c r="D148" s="14">
        <v>106.9</v>
      </c>
      <c r="E148" s="14">
        <v>0</v>
      </c>
      <c r="F148" s="14">
        <f t="shared" si="2"/>
        <v>-106.9</v>
      </c>
      <c r="G148" t="s">
        <v>35</v>
      </c>
      <c r="H148" t="s">
        <v>28</v>
      </c>
      <c r="I148" t="s">
        <v>34</v>
      </c>
    </row>
    <row r="149" spans="1:9" x14ac:dyDescent="0.2">
      <c r="A149" t="s">
        <v>19</v>
      </c>
      <c r="B149" s="1">
        <v>45160</v>
      </c>
      <c r="C149" t="s">
        <v>94</v>
      </c>
      <c r="D149" s="14">
        <v>23.23</v>
      </c>
      <c r="E149" s="14">
        <v>0</v>
      </c>
      <c r="F149" s="14">
        <f t="shared" si="2"/>
        <v>-23.23</v>
      </c>
      <c r="G149" t="s">
        <v>35</v>
      </c>
      <c r="H149" t="s">
        <v>28</v>
      </c>
      <c r="I149" t="s">
        <v>34</v>
      </c>
    </row>
    <row r="150" spans="1:9" x14ac:dyDescent="0.2">
      <c r="A150" t="s">
        <v>19</v>
      </c>
      <c r="B150" s="1">
        <v>45160</v>
      </c>
      <c r="C150" t="s">
        <v>93</v>
      </c>
      <c r="D150" s="14">
        <v>6.99</v>
      </c>
      <c r="E150" s="14">
        <v>0</v>
      </c>
      <c r="F150" s="14">
        <f t="shared" si="2"/>
        <v>-6.99</v>
      </c>
      <c r="G150" t="s">
        <v>35</v>
      </c>
      <c r="H150" t="s">
        <v>28</v>
      </c>
      <c r="I150" t="s">
        <v>34</v>
      </c>
    </row>
    <row r="151" spans="1:9" x14ac:dyDescent="0.2">
      <c r="A151" t="s">
        <v>19</v>
      </c>
      <c r="B151" s="1">
        <v>45163</v>
      </c>
      <c r="C151" t="s">
        <v>93</v>
      </c>
      <c r="D151" s="14">
        <v>17.98</v>
      </c>
      <c r="E151" s="14">
        <v>0</v>
      </c>
      <c r="F151" s="14">
        <f t="shared" si="2"/>
        <v>-17.98</v>
      </c>
      <c r="G151" t="s">
        <v>35</v>
      </c>
      <c r="H151" t="s">
        <v>28</v>
      </c>
      <c r="I151" t="s">
        <v>34</v>
      </c>
    </row>
    <row r="152" spans="1:9" x14ac:dyDescent="0.2">
      <c r="A152" t="s">
        <v>19</v>
      </c>
      <c r="B152" s="1">
        <v>45164</v>
      </c>
      <c r="C152" t="s">
        <v>94</v>
      </c>
      <c r="D152" s="14">
        <v>20.74</v>
      </c>
      <c r="E152" s="14">
        <v>0</v>
      </c>
      <c r="F152" s="14">
        <f t="shared" si="2"/>
        <v>-20.74</v>
      </c>
      <c r="G152" t="s">
        <v>35</v>
      </c>
      <c r="H152" t="s">
        <v>28</v>
      </c>
      <c r="I152" t="s">
        <v>34</v>
      </c>
    </row>
    <row r="153" spans="1:9" x14ac:dyDescent="0.2">
      <c r="A153" t="s">
        <v>19</v>
      </c>
      <c r="B153" s="1">
        <v>45164</v>
      </c>
      <c r="C153" t="s">
        <v>93</v>
      </c>
      <c r="D153" s="14">
        <v>5.29</v>
      </c>
      <c r="E153" s="14">
        <v>0</v>
      </c>
      <c r="F153" s="14">
        <f t="shared" si="2"/>
        <v>-5.29</v>
      </c>
      <c r="G153" t="s">
        <v>35</v>
      </c>
      <c r="H153" t="s">
        <v>28</v>
      </c>
      <c r="I153" t="s">
        <v>34</v>
      </c>
    </row>
    <row r="154" spans="1:9" x14ac:dyDescent="0.2">
      <c r="A154" t="s">
        <v>19</v>
      </c>
      <c r="B154" s="1">
        <v>45166</v>
      </c>
      <c r="C154" t="s">
        <v>94</v>
      </c>
      <c r="D154" s="14">
        <v>19.350000000000001</v>
      </c>
      <c r="E154" s="14">
        <v>0</v>
      </c>
      <c r="F154" s="14">
        <f t="shared" si="2"/>
        <v>-19.350000000000001</v>
      </c>
      <c r="G154" t="s">
        <v>35</v>
      </c>
      <c r="H154" t="s">
        <v>28</v>
      </c>
      <c r="I154" t="s">
        <v>34</v>
      </c>
    </row>
    <row r="155" spans="1:9" x14ac:dyDescent="0.2">
      <c r="A155" t="s">
        <v>19</v>
      </c>
      <c r="B155" s="1">
        <v>45166</v>
      </c>
      <c r="C155" t="s">
        <v>96</v>
      </c>
      <c r="D155" s="14">
        <v>25.97</v>
      </c>
      <c r="E155" s="14">
        <v>0</v>
      </c>
      <c r="F155" s="14">
        <f t="shared" si="2"/>
        <v>-25.97</v>
      </c>
      <c r="G155" t="s">
        <v>35</v>
      </c>
      <c r="H155" t="s">
        <v>28</v>
      </c>
      <c r="I155" t="s">
        <v>34</v>
      </c>
    </row>
    <row r="156" spans="1:9" x14ac:dyDescent="0.2">
      <c r="A156" t="s">
        <v>19</v>
      </c>
      <c r="B156" s="1">
        <v>45166</v>
      </c>
      <c r="C156" t="s">
        <v>94</v>
      </c>
      <c r="D156" s="14">
        <v>19.84</v>
      </c>
      <c r="E156" s="14">
        <v>0</v>
      </c>
      <c r="F156" s="14">
        <f t="shared" si="2"/>
        <v>-19.84</v>
      </c>
      <c r="G156" t="s">
        <v>35</v>
      </c>
      <c r="H156" t="s">
        <v>28</v>
      </c>
      <c r="I156" t="s">
        <v>34</v>
      </c>
    </row>
    <row r="157" spans="1:9" x14ac:dyDescent="0.2">
      <c r="A157" t="s">
        <v>19</v>
      </c>
      <c r="B157" s="1">
        <v>45167</v>
      </c>
      <c r="C157" t="s">
        <v>93</v>
      </c>
      <c r="D157" s="14">
        <v>6.99</v>
      </c>
      <c r="E157" s="14">
        <v>0</v>
      </c>
      <c r="F157" s="14">
        <f t="shared" si="2"/>
        <v>-6.99</v>
      </c>
      <c r="G157" t="s">
        <v>35</v>
      </c>
      <c r="H157" t="s">
        <v>28</v>
      </c>
      <c r="I157" t="s">
        <v>34</v>
      </c>
    </row>
    <row r="158" spans="1:9" x14ac:dyDescent="0.2">
      <c r="A158" t="s">
        <v>20</v>
      </c>
      <c r="B158" s="1">
        <v>45169</v>
      </c>
      <c r="C158" t="s">
        <v>83</v>
      </c>
      <c r="D158" s="14">
        <v>33.68</v>
      </c>
      <c r="E158" s="14">
        <v>0</v>
      </c>
      <c r="F158" s="14">
        <f t="shared" si="2"/>
        <v>-33.68</v>
      </c>
      <c r="G158" t="s">
        <v>35</v>
      </c>
      <c r="H158" t="s">
        <v>28</v>
      </c>
      <c r="I158" t="s">
        <v>34</v>
      </c>
    </row>
    <row r="159" spans="1:9" x14ac:dyDescent="0.2">
      <c r="A159" t="s">
        <v>20</v>
      </c>
      <c r="B159" s="1">
        <v>45110</v>
      </c>
      <c r="C159" t="s">
        <v>83</v>
      </c>
      <c r="D159" s="14">
        <v>8.5399999999999991</v>
      </c>
      <c r="E159" s="14">
        <v>0</v>
      </c>
      <c r="F159" s="14">
        <f t="shared" si="2"/>
        <v>-8.5399999999999991</v>
      </c>
      <c r="G159" t="s">
        <v>35</v>
      </c>
      <c r="H159" t="s">
        <v>28</v>
      </c>
      <c r="I159" t="s">
        <v>34</v>
      </c>
    </row>
    <row r="160" spans="1:9" x14ac:dyDescent="0.2">
      <c r="A160" t="s">
        <v>19</v>
      </c>
      <c r="B160" s="1">
        <v>45110</v>
      </c>
      <c r="C160" t="s">
        <v>152</v>
      </c>
      <c r="D160" s="14">
        <v>8.48</v>
      </c>
      <c r="E160" s="14">
        <v>0</v>
      </c>
      <c r="F160" s="14">
        <f t="shared" si="2"/>
        <v>-8.48</v>
      </c>
      <c r="G160" t="s">
        <v>35</v>
      </c>
      <c r="H160" t="s">
        <v>28</v>
      </c>
      <c r="I160" t="s">
        <v>34</v>
      </c>
    </row>
    <row r="161" spans="1:9" x14ac:dyDescent="0.2">
      <c r="A161" t="s">
        <v>19</v>
      </c>
      <c r="B161" s="1">
        <v>45110</v>
      </c>
      <c r="C161" t="s">
        <v>153</v>
      </c>
      <c r="D161" s="14">
        <v>8.57</v>
      </c>
      <c r="E161" s="14">
        <v>0</v>
      </c>
      <c r="F161" s="14">
        <f t="shared" si="2"/>
        <v>-8.57</v>
      </c>
      <c r="G161" t="s">
        <v>35</v>
      </c>
      <c r="H161" t="s">
        <v>28</v>
      </c>
      <c r="I161" t="s">
        <v>34</v>
      </c>
    </row>
    <row r="162" spans="1:9" x14ac:dyDescent="0.2">
      <c r="A162" t="s">
        <v>19</v>
      </c>
      <c r="B162" s="1">
        <v>45112</v>
      </c>
      <c r="C162" t="s">
        <v>153</v>
      </c>
      <c r="D162" s="14">
        <v>28.64</v>
      </c>
      <c r="E162" s="14">
        <v>0</v>
      </c>
      <c r="F162" s="14">
        <f t="shared" si="2"/>
        <v>-28.64</v>
      </c>
      <c r="G162" t="s">
        <v>35</v>
      </c>
      <c r="H162" t="s">
        <v>28</v>
      </c>
      <c r="I162" t="s">
        <v>34</v>
      </c>
    </row>
    <row r="163" spans="1:9" x14ac:dyDescent="0.2">
      <c r="A163" t="s">
        <v>20</v>
      </c>
      <c r="B163" s="1">
        <v>45117</v>
      </c>
      <c r="C163" t="s">
        <v>83</v>
      </c>
      <c r="D163" s="14">
        <v>2.82</v>
      </c>
      <c r="E163" s="14">
        <v>0</v>
      </c>
      <c r="F163" s="14">
        <f t="shared" si="2"/>
        <v>-2.82</v>
      </c>
      <c r="G163" t="s">
        <v>35</v>
      </c>
      <c r="H163" t="s">
        <v>28</v>
      </c>
      <c r="I163" t="s">
        <v>34</v>
      </c>
    </row>
    <row r="164" spans="1:9" x14ac:dyDescent="0.2">
      <c r="A164" t="s">
        <v>19</v>
      </c>
      <c r="B164" s="1">
        <v>45117</v>
      </c>
      <c r="C164" t="s">
        <v>154</v>
      </c>
      <c r="D164" s="14">
        <v>4.99</v>
      </c>
      <c r="E164" s="14">
        <v>0</v>
      </c>
      <c r="F164" s="14">
        <f t="shared" si="2"/>
        <v>-4.99</v>
      </c>
      <c r="G164" t="s">
        <v>35</v>
      </c>
      <c r="H164" t="s">
        <v>28</v>
      </c>
      <c r="I164" t="s">
        <v>34</v>
      </c>
    </row>
    <row r="165" spans="1:9" x14ac:dyDescent="0.2">
      <c r="A165" t="s">
        <v>19</v>
      </c>
      <c r="B165" s="1">
        <v>45120</v>
      </c>
      <c r="C165" t="s">
        <v>138</v>
      </c>
      <c r="D165" s="14">
        <v>24.12</v>
      </c>
      <c r="E165" s="14">
        <v>0</v>
      </c>
      <c r="F165" s="14">
        <f t="shared" si="2"/>
        <v>-24.12</v>
      </c>
      <c r="G165" t="s">
        <v>35</v>
      </c>
      <c r="H165" t="s">
        <v>28</v>
      </c>
      <c r="I165" t="s">
        <v>34</v>
      </c>
    </row>
    <row r="166" spans="1:9" x14ac:dyDescent="0.2">
      <c r="A166" t="s">
        <v>20</v>
      </c>
      <c r="B166" s="1">
        <v>45124</v>
      </c>
      <c r="C166" t="s">
        <v>83</v>
      </c>
      <c r="D166" s="14">
        <v>6.43</v>
      </c>
      <c r="E166" s="14">
        <v>0</v>
      </c>
      <c r="F166" s="14">
        <f t="shared" si="2"/>
        <v>-6.43</v>
      </c>
      <c r="G166" t="s">
        <v>35</v>
      </c>
      <c r="H166" t="s">
        <v>28</v>
      </c>
      <c r="I166" t="s">
        <v>34</v>
      </c>
    </row>
    <row r="167" spans="1:9" x14ac:dyDescent="0.2">
      <c r="A167" t="s">
        <v>19</v>
      </c>
      <c r="B167" s="1">
        <v>45124</v>
      </c>
      <c r="C167" t="s">
        <v>155</v>
      </c>
      <c r="D167" s="14">
        <v>13.4</v>
      </c>
      <c r="E167" s="14">
        <v>0</v>
      </c>
      <c r="F167" s="14">
        <f t="shared" si="2"/>
        <v>-13.4</v>
      </c>
      <c r="G167" t="s">
        <v>35</v>
      </c>
      <c r="H167" t="s">
        <v>28</v>
      </c>
      <c r="I167" t="s">
        <v>34</v>
      </c>
    </row>
    <row r="168" spans="1:9" x14ac:dyDescent="0.2">
      <c r="A168" t="s">
        <v>19</v>
      </c>
      <c r="B168" s="1">
        <v>45125</v>
      </c>
      <c r="C168" t="s">
        <v>139</v>
      </c>
      <c r="D168" s="14">
        <v>10.89</v>
      </c>
      <c r="E168" s="14">
        <v>0</v>
      </c>
      <c r="F168" s="14">
        <f t="shared" si="2"/>
        <v>-10.89</v>
      </c>
      <c r="G168" t="s">
        <v>35</v>
      </c>
      <c r="H168" t="s">
        <v>28</v>
      </c>
      <c r="I168" t="s">
        <v>34</v>
      </c>
    </row>
    <row r="169" spans="1:9" x14ac:dyDescent="0.2">
      <c r="A169" t="s">
        <v>19</v>
      </c>
      <c r="B169" s="1">
        <v>45125</v>
      </c>
      <c r="C169" t="s">
        <v>156</v>
      </c>
      <c r="D169" s="14">
        <v>17.149999999999999</v>
      </c>
      <c r="E169" s="14">
        <v>0</v>
      </c>
      <c r="F169" s="14">
        <f t="shared" si="2"/>
        <v>-17.149999999999999</v>
      </c>
      <c r="G169" t="s">
        <v>35</v>
      </c>
      <c r="H169" t="s">
        <v>28</v>
      </c>
      <c r="I169" t="s">
        <v>34</v>
      </c>
    </row>
    <row r="170" spans="1:9" x14ac:dyDescent="0.2">
      <c r="A170" t="s">
        <v>19</v>
      </c>
      <c r="B170" s="1">
        <v>45126</v>
      </c>
      <c r="C170" t="s">
        <v>157</v>
      </c>
      <c r="D170" s="14">
        <v>8.0299999999999994</v>
      </c>
      <c r="E170" s="14">
        <v>0</v>
      </c>
      <c r="F170" s="14">
        <f t="shared" si="2"/>
        <v>-8.0299999999999994</v>
      </c>
      <c r="G170" t="s">
        <v>35</v>
      </c>
      <c r="H170" t="s">
        <v>28</v>
      </c>
      <c r="I170" t="s">
        <v>34</v>
      </c>
    </row>
    <row r="171" spans="1:9" x14ac:dyDescent="0.2">
      <c r="A171" t="s">
        <v>20</v>
      </c>
      <c r="B171" s="1">
        <v>45131</v>
      </c>
      <c r="C171" t="s">
        <v>83</v>
      </c>
      <c r="D171" s="14">
        <v>7.23</v>
      </c>
      <c r="E171" s="14">
        <v>0</v>
      </c>
      <c r="F171" s="14">
        <f t="shared" si="2"/>
        <v>-7.23</v>
      </c>
      <c r="G171" t="s">
        <v>35</v>
      </c>
      <c r="H171" t="s">
        <v>28</v>
      </c>
      <c r="I171" t="s">
        <v>34</v>
      </c>
    </row>
    <row r="172" spans="1:9" x14ac:dyDescent="0.2">
      <c r="A172" t="s">
        <v>19</v>
      </c>
      <c r="B172" s="1">
        <v>45135</v>
      </c>
      <c r="C172" t="s">
        <v>138</v>
      </c>
      <c r="D172" s="14">
        <v>4.97</v>
      </c>
      <c r="E172" s="14">
        <v>0</v>
      </c>
      <c r="F172" s="14">
        <f t="shared" si="2"/>
        <v>-4.97</v>
      </c>
      <c r="G172" t="s">
        <v>35</v>
      </c>
      <c r="H172" t="s">
        <v>28</v>
      </c>
      <c r="I172" t="s">
        <v>34</v>
      </c>
    </row>
    <row r="173" spans="1:9" x14ac:dyDescent="0.2">
      <c r="A173" t="s">
        <v>19</v>
      </c>
      <c r="B173" s="1">
        <v>45171</v>
      </c>
      <c r="C173" t="s">
        <v>78</v>
      </c>
      <c r="D173" s="14">
        <v>19.309999999999999</v>
      </c>
      <c r="E173" s="14">
        <v>0</v>
      </c>
      <c r="F173" s="14">
        <f t="shared" si="2"/>
        <v>-19.309999999999999</v>
      </c>
      <c r="G173" t="s">
        <v>14</v>
      </c>
      <c r="H173" t="s">
        <v>23</v>
      </c>
      <c r="I173" t="s">
        <v>34</v>
      </c>
    </row>
    <row r="174" spans="1:9" x14ac:dyDescent="0.2">
      <c r="A174" t="s">
        <v>19</v>
      </c>
      <c r="B174" s="1">
        <v>45187</v>
      </c>
      <c r="C174" t="s">
        <v>78</v>
      </c>
      <c r="D174" s="14">
        <v>112</v>
      </c>
      <c r="E174" s="14">
        <v>0</v>
      </c>
      <c r="F174" s="14">
        <f t="shared" si="2"/>
        <v>-112</v>
      </c>
      <c r="G174" t="s">
        <v>14</v>
      </c>
      <c r="H174" t="s">
        <v>23</v>
      </c>
      <c r="I174" t="s">
        <v>34</v>
      </c>
    </row>
    <row r="175" spans="1:9" x14ac:dyDescent="0.2">
      <c r="A175" t="s">
        <v>19</v>
      </c>
      <c r="B175" s="1">
        <v>45190</v>
      </c>
      <c r="C175" t="s">
        <v>79</v>
      </c>
      <c r="D175" s="14">
        <v>57.5</v>
      </c>
      <c r="E175" s="14">
        <v>0</v>
      </c>
      <c r="F175" s="14">
        <f t="shared" si="2"/>
        <v>-57.5</v>
      </c>
      <c r="G175" t="s">
        <v>14</v>
      </c>
      <c r="H175" t="s">
        <v>23</v>
      </c>
      <c r="I175" t="s">
        <v>34</v>
      </c>
    </row>
    <row r="176" spans="1:9" x14ac:dyDescent="0.2">
      <c r="A176" t="s">
        <v>19</v>
      </c>
      <c r="B176" s="1">
        <v>45117</v>
      </c>
      <c r="C176" t="s">
        <v>78</v>
      </c>
      <c r="D176" s="14">
        <v>3.22</v>
      </c>
      <c r="E176" s="14">
        <v>0</v>
      </c>
      <c r="F176" s="14">
        <f t="shared" si="2"/>
        <v>-3.22</v>
      </c>
      <c r="G176" t="s">
        <v>14</v>
      </c>
      <c r="H176" t="s">
        <v>23</v>
      </c>
      <c r="I176" t="s">
        <v>34</v>
      </c>
    </row>
    <row r="177" spans="1:9" x14ac:dyDescent="0.2">
      <c r="A177" t="s">
        <v>19</v>
      </c>
      <c r="B177" s="1">
        <v>45124</v>
      </c>
      <c r="C177" t="s">
        <v>78</v>
      </c>
      <c r="D177" s="14">
        <v>112</v>
      </c>
      <c r="E177" s="14">
        <v>0</v>
      </c>
      <c r="F177" s="14">
        <f t="shared" si="2"/>
        <v>-112</v>
      </c>
      <c r="G177" t="s">
        <v>14</v>
      </c>
      <c r="H177" t="s">
        <v>23</v>
      </c>
      <c r="I177" t="s">
        <v>34</v>
      </c>
    </row>
    <row r="178" spans="1:9" x14ac:dyDescent="0.2">
      <c r="A178" t="s">
        <v>19</v>
      </c>
      <c r="B178" s="1">
        <v>45128</v>
      </c>
      <c r="C178" t="s">
        <v>79</v>
      </c>
      <c r="D178" s="14">
        <v>57.5</v>
      </c>
      <c r="E178" s="14">
        <v>0</v>
      </c>
      <c r="F178" s="14">
        <f t="shared" si="2"/>
        <v>-57.5</v>
      </c>
      <c r="G178" t="s">
        <v>14</v>
      </c>
      <c r="H178" t="s">
        <v>23</v>
      </c>
      <c r="I178" t="s">
        <v>34</v>
      </c>
    </row>
    <row r="179" spans="1:9" x14ac:dyDescent="0.2">
      <c r="A179" t="s">
        <v>19</v>
      </c>
      <c r="B179" s="1">
        <v>45152</v>
      </c>
      <c r="C179" t="s">
        <v>147</v>
      </c>
      <c r="D179" s="14">
        <v>21</v>
      </c>
      <c r="E179" s="14">
        <v>0</v>
      </c>
      <c r="F179" s="14">
        <f t="shared" si="2"/>
        <v>-21</v>
      </c>
      <c r="G179" t="s">
        <v>14</v>
      </c>
      <c r="H179" t="s">
        <v>23</v>
      </c>
      <c r="I179" t="s">
        <v>34</v>
      </c>
    </row>
    <row r="180" spans="1:9" x14ac:dyDescent="0.2">
      <c r="A180" t="s">
        <v>19</v>
      </c>
      <c r="B180" s="1">
        <v>45159</v>
      </c>
      <c r="C180" t="s">
        <v>79</v>
      </c>
      <c r="D180" s="14">
        <v>57.5</v>
      </c>
      <c r="E180" s="14">
        <v>0</v>
      </c>
      <c r="F180" s="14">
        <f t="shared" si="2"/>
        <v>-57.5</v>
      </c>
      <c r="G180" t="s">
        <v>14</v>
      </c>
      <c r="H180" t="s">
        <v>23</v>
      </c>
      <c r="I180" t="s">
        <v>34</v>
      </c>
    </row>
    <row r="181" spans="1:9" x14ac:dyDescent="0.2">
      <c r="A181" t="s">
        <v>19</v>
      </c>
      <c r="B181" s="1">
        <v>45178</v>
      </c>
      <c r="C181" t="s">
        <v>66</v>
      </c>
      <c r="D181" s="14">
        <v>30</v>
      </c>
      <c r="E181" s="14">
        <v>0</v>
      </c>
      <c r="F181" s="14">
        <f t="shared" si="2"/>
        <v>-30</v>
      </c>
      <c r="G181" t="s">
        <v>32</v>
      </c>
      <c r="H181" t="s">
        <v>28</v>
      </c>
      <c r="I181" t="s">
        <v>34</v>
      </c>
    </row>
    <row r="182" spans="1:9" x14ac:dyDescent="0.2">
      <c r="A182" t="s">
        <v>19</v>
      </c>
      <c r="B182" s="1">
        <v>45124</v>
      </c>
      <c r="C182" t="s">
        <v>66</v>
      </c>
      <c r="D182" s="14">
        <v>26</v>
      </c>
      <c r="E182" s="14">
        <v>0</v>
      </c>
      <c r="F182" s="14">
        <f t="shared" si="2"/>
        <v>-26</v>
      </c>
      <c r="G182" t="s">
        <v>32</v>
      </c>
      <c r="H182" t="s">
        <v>28</v>
      </c>
      <c r="I182" t="s">
        <v>34</v>
      </c>
    </row>
    <row r="183" spans="1:9" x14ac:dyDescent="0.2">
      <c r="A183" t="s">
        <v>19</v>
      </c>
      <c r="B183" s="1">
        <v>45141</v>
      </c>
      <c r="C183" t="s">
        <v>148</v>
      </c>
      <c r="D183" s="14">
        <v>25</v>
      </c>
      <c r="E183" s="14">
        <v>0</v>
      </c>
      <c r="F183" s="14">
        <f t="shared" si="2"/>
        <v>-25</v>
      </c>
      <c r="G183" t="s">
        <v>32</v>
      </c>
      <c r="H183" t="s">
        <v>28</v>
      </c>
      <c r="I183" t="s">
        <v>34</v>
      </c>
    </row>
    <row r="184" spans="1:9" x14ac:dyDescent="0.2">
      <c r="A184" t="s">
        <v>19</v>
      </c>
      <c r="B184" s="1">
        <v>45114</v>
      </c>
      <c r="C184" t="s">
        <v>65</v>
      </c>
      <c r="D184" s="14">
        <v>2.17</v>
      </c>
      <c r="E184" s="14">
        <v>0</v>
      </c>
      <c r="F184" s="14">
        <f t="shared" si="2"/>
        <v>-2.17</v>
      </c>
      <c r="G184" t="s">
        <v>12</v>
      </c>
      <c r="H184" t="s">
        <v>28</v>
      </c>
      <c r="I184" t="s">
        <v>34</v>
      </c>
    </row>
    <row r="185" spans="1:9" x14ac:dyDescent="0.2">
      <c r="A185" t="s">
        <v>19</v>
      </c>
      <c r="B185" s="1">
        <v>45129</v>
      </c>
      <c r="C185" t="s">
        <v>158</v>
      </c>
      <c r="D185" s="14">
        <v>79.73</v>
      </c>
      <c r="E185" s="14">
        <v>0</v>
      </c>
      <c r="F185" s="14">
        <f t="shared" si="2"/>
        <v>-79.73</v>
      </c>
      <c r="G185" t="s">
        <v>12</v>
      </c>
      <c r="H185" t="s">
        <v>28</v>
      </c>
      <c r="I185" t="s">
        <v>34</v>
      </c>
    </row>
    <row r="186" spans="1:9" x14ac:dyDescent="0.2">
      <c r="A186" t="s">
        <v>19</v>
      </c>
      <c r="B186" s="1">
        <v>45145</v>
      </c>
      <c r="C186" t="s">
        <v>65</v>
      </c>
      <c r="D186" s="14">
        <v>2.2000000000000002</v>
      </c>
      <c r="E186" s="14">
        <v>0</v>
      </c>
      <c r="F186" s="14">
        <f t="shared" si="2"/>
        <v>-2.2000000000000002</v>
      </c>
      <c r="G186" t="s">
        <v>12</v>
      </c>
      <c r="H186" t="s">
        <v>28</v>
      </c>
      <c r="I186" t="s">
        <v>34</v>
      </c>
    </row>
    <row r="187" spans="1:9" x14ac:dyDescent="0.2">
      <c r="A187" t="s">
        <v>19</v>
      </c>
      <c r="B187" s="1">
        <v>45145</v>
      </c>
      <c r="C187" t="s">
        <v>65</v>
      </c>
      <c r="D187" s="14">
        <v>2.2000000000000002</v>
      </c>
      <c r="E187" s="14">
        <v>0</v>
      </c>
      <c r="F187" s="14">
        <f t="shared" si="2"/>
        <v>-2.2000000000000002</v>
      </c>
      <c r="G187" t="s">
        <v>12</v>
      </c>
      <c r="H187" t="s">
        <v>28</v>
      </c>
      <c r="I187" t="s">
        <v>34</v>
      </c>
    </row>
    <row r="188" spans="1:9" x14ac:dyDescent="0.2">
      <c r="A188" t="s">
        <v>19</v>
      </c>
      <c r="B188" s="1">
        <v>45160</v>
      </c>
      <c r="C188" t="s">
        <v>158</v>
      </c>
      <c r="D188" s="14">
        <v>69.989999999999995</v>
      </c>
      <c r="E188" s="14">
        <v>0</v>
      </c>
      <c r="F188" s="14">
        <f t="shared" si="2"/>
        <v>-69.989999999999995</v>
      </c>
      <c r="G188" t="s">
        <v>12</v>
      </c>
      <c r="H188" t="s">
        <v>28</v>
      </c>
      <c r="I188" t="s">
        <v>34</v>
      </c>
    </row>
    <row r="189" spans="1:9" x14ac:dyDescent="0.2">
      <c r="A189" t="s">
        <v>19</v>
      </c>
      <c r="B189" s="1">
        <v>45191</v>
      </c>
      <c r="C189" t="s">
        <v>158</v>
      </c>
      <c r="D189" s="14">
        <v>69.989999999999995</v>
      </c>
      <c r="E189" s="14">
        <v>0</v>
      </c>
      <c r="F189" s="14">
        <f t="shared" si="2"/>
        <v>-69.989999999999995</v>
      </c>
      <c r="G189" t="s">
        <v>12</v>
      </c>
      <c r="H189" t="s">
        <v>28</v>
      </c>
      <c r="I189" t="s">
        <v>34</v>
      </c>
    </row>
    <row r="190" spans="1:9" x14ac:dyDescent="0.2">
      <c r="A190" t="s">
        <v>19</v>
      </c>
      <c r="B190" s="1">
        <v>45182</v>
      </c>
      <c r="C190" t="s">
        <v>67</v>
      </c>
      <c r="D190" s="14">
        <v>17.600000000000001</v>
      </c>
      <c r="E190" s="14">
        <v>0</v>
      </c>
      <c r="F190" s="14">
        <f t="shared" si="2"/>
        <v>-17.600000000000001</v>
      </c>
      <c r="G190" t="s">
        <v>29</v>
      </c>
      <c r="H190" t="s">
        <v>24</v>
      </c>
      <c r="I190" t="s">
        <v>34</v>
      </c>
    </row>
    <row r="191" spans="1:9" x14ac:dyDescent="0.2">
      <c r="A191" t="s">
        <v>19</v>
      </c>
      <c r="B191" s="1">
        <v>45139</v>
      </c>
      <c r="C191" t="s">
        <v>88</v>
      </c>
      <c r="D191" s="14">
        <v>25</v>
      </c>
      <c r="E191" s="14">
        <v>0</v>
      </c>
      <c r="F191" s="14">
        <f t="shared" si="2"/>
        <v>-25</v>
      </c>
      <c r="G191" t="s">
        <v>29</v>
      </c>
      <c r="H191" t="s">
        <v>24</v>
      </c>
      <c r="I191" t="s">
        <v>34</v>
      </c>
    </row>
    <row r="192" spans="1:9" x14ac:dyDescent="0.2">
      <c r="A192" t="s">
        <v>19</v>
      </c>
      <c r="B192" s="1">
        <v>45160</v>
      </c>
      <c r="C192" t="s">
        <v>89</v>
      </c>
      <c r="D192" s="14">
        <v>30.5</v>
      </c>
      <c r="E192" s="14">
        <v>0</v>
      </c>
      <c r="F192" s="14">
        <f t="shared" si="2"/>
        <v>-30.5</v>
      </c>
      <c r="G192" t="s">
        <v>29</v>
      </c>
      <c r="H192" t="s">
        <v>24</v>
      </c>
      <c r="I192" t="s">
        <v>34</v>
      </c>
    </row>
    <row r="193" spans="1:9" x14ac:dyDescent="0.2">
      <c r="A193" t="s">
        <v>19</v>
      </c>
      <c r="B193" s="1">
        <v>45189</v>
      </c>
      <c r="C193" t="s">
        <v>90</v>
      </c>
      <c r="D193" s="14">
        <v>30.5</v>
      </c>
      <c r="E193" s="14">
        <v>0</v>
      </c>
      <c r="F193" s="14">
        <f t="shared" si="2"/>
        <v>-30.5</v>
      </c>
      <c r="G193" t="s">
        <v>29</v>
      </c>
      <c r="H193" t="s">
        <v>24</v>
      </c>
      <c r="I193" t="s">
        <v>34</v>
      </c>
    </row>
    <row r="194" spans="1:9" x14ac:dyDescent="0.2">
      <c r="A194" t="s">
        <v>19</v>
      </c>
      <c r="B194" s="1">
        <v>45108</v>
      </c>
      <c r="C194" t="s">
        <v>149</v>
      </c>
      <c r="D194" s="14">
        <v>54</v>
      </c>
      <c r="E194" s="14">
        <v>0</v>
      </c>
      <c r="F194" s="14">
        <f t="shared" ref="F194:F251" si="3">E194-D194</f>
        <v>-54</v>
      </c>
      <c r="G194" t="s">
        <v>29</v>
      </c>
      <c r="H194" t="s">
        <v>24</v>
      </c>
      <c r="I194" t="s">
        <v>34</v>
      </c>
    </row>
    <row r="195" spans="1:9" x14ac:dyDescent="0.2">
      <c r="A195" t="s">
        <v>20</v>
      </c>
      <c r="B195" s="1">
        <v>45124</v>
      </c>
      <c r="C195" t="s">
        <v>169</v>
      </c>
      <c r="D195" s="14">
        <v>9.98</v>
      </c>
      <c r="E195" s="14">
        <v>0</v>
      </c>
      <c r="F195" s="14">
        <f t="shared" si="3"/>
        <v>-9.98</v>
      </c>
      <c r="G195" t="s">
        <v>29</v>
      </c>
      <c r="H195" t="s">
        <v>24</v>
      </c>
      <c r="I195" t="s">
        <v>34</v>
      </c>
    </row>
    <row r="196" spans="1:9" x14ac:dyDescent="0.2">
      <c r="A196" t="s">
        <v>19</v>
      </c>
      <c r="B196" s="1">
        <v>45127</v>
      </c>
      <c r="C196" t="s">
        <v>170</v>
      </c>
      <c r="D196" s="14">
        <v>30.5</v>
      </c>
      <c r="E196" s="14">
        <v>0</v>
      </c>
      <c r="F196" s="14">
        <f t="shared" si="3"/>
        <v>-30.5</v>
      </c>
      <c r="G196" t="s">
        <v>29</v>
      </c>
      <c r="H196" t="s">
        <v>24</v>
      </c>
      <c r="I196" t="s">
        <v>34</v>
      </c>
    </row>
    <row r="197" spans="1:9" x14ac:dyDescent="0.2">
      <c r="A197" t="s">
        <v>19</v>
      </c>
      <c r="B197" s="1">
        <v>45187</v>
      </c>
      <c r="C197" t="s">
        <v>98</v>
      </c>
      <c r="D197" s="14">
        <v>1</v>
      </c>
      <c r="E197" s="14">
        <v>0</v>
      </c>
      <c r="F197" s="14">
        <f t="shared" si="3"/>
        <v>-1</v>
      </c>
      <c r="G197" t="s">
        <v>8</v>
      </c>
      <c r="H197" t="s">
        <v>31</v>
      </c>
      <c r="I197" t="s">
        <v>34</v>
      </c>
    </row>
    <row r="198" spans="1:9" x14ac:dyDescent="0.2">
      <c r="A198" t="s">
        <v>19</v>
      </c>
      <c r="B198" s="1">
        <v>45188</v>
      </c>
      <c r="C198" t="s">
        <v>99</v>
      </c>
      <c r="D198" s="14">
        <v>5</v>
      </c>
      <c r="E198" s="14">
        <v>0</v>
      </c>
      <c r="F198" s="14">
        <f t="shared" si="3"/>
        <v>-5</v>
      </c>
      <c r="G198" t="s">
        <v>8</v>
      </c>
      <c r="H198" t="s">
        <v>31</v>
      </c>
      <c r="I198" t="s">
        <v>34</v>
      </c>
    </row>
    <row r="199" spans="1:9" x14ac:dyDescent="0.2">
      <c r="A199" t="s">
        <v>20</v>
      </c>
      <c r="B199" s="1">
        <v>45114</v>
      </c>
      <c r="C199" t="s">
        <v>159</v>
      </c>
      <c r="D199" s="14">
        <v>8</v>
      </c>
      <c r="E199" s="14">
        <v>0</v>
      </c>
      <c r="F199" s="14">
        <f t="shared" si="3"/>
        <v>-8</v>
      </c>
      <c r="G199" t="s">
        <v>8</v>
      </c>
      <c r="H199" t="s">
        <v>31</v>
      </c>
      <c r="I199" t="s">
        <v>34</v>
      </c>
    </row>
    <row r="200" spans="1:9" x14ac:dyDescent="0.2">
      <c r="A200" t="s">
        <v>19</v>
      </c>
      <c r="B200" s="1">
        <v>45117</v>
      </c>
      <c r="C200" t="s">
        <v>98</v>
      </c>
      <c r="D200" s="14">
        <v>1</v>
      </c>
      <c r="E200" s="14">
        <v>0</v>
      </c>
      <c r="F200" s="14">
        <f t="shared" si="3"/>
        <v>-1</v>
      </c>
      <c r="G200" t="s">
        <v>8</v>
      </c>
      <c r="H200" t="s">
        <v>31</v>
      </c>
      <c r="I200" t="s">
        <v>34</v>
      </c>
    </row>
    <row r="201" spans="1:9" x14ac:dyDescent="0.2">
      <c r="A201" t="s">
        <v>19</v>
      </c>
      <c r="B201" s="1">
        <v>45120</v>
      </c>
      <c r="C201" t="s">
        <v>98</v>
      </c>
      <c r="D201" s="14">
        <v>1</v>
      </c>
      <c r="E201" s="14">
        <v>0</v>
      </c>
      <c r="F201" s="14">
        <f t="shared" si="3"/>
        <v>-1</v>
      </c>
      <c r="G201" t="s">
        <v>8</v>
      </c>
      <c r="H201" t="s">
        <v>31</v>
      </c>
      <c r="I201" t="s">
        <v>34</v>
      </c>
    </row>
    <row r="202" spans="1:9" x14ac:dyDescent="0.2">
      <c r="A202" t="s">
        <v>19</v>
      </c>
      <c r="B202" s="1">
        <v>45122</v>
      </c>
      <c r="C202" t="s">
        <v>98</v>
      </c>
      <c r="D202" s="14">
        <v>1.5</v>
      </c>
      <c r="E202" s="14">
        <v>0</v>
      </c>
      <c r="F202" s="14">
        <f t="shared" si="3"/>
        <v>-1.5</v>
      </c>
      <c r="G202" t="s">
        <v>8</v>
      </c>
      <c r="H202" t="s">
        <v>31</v>
      </c>
      <c r="I202" t="s">
        <v>34</v>
      </c>
    </row>
    <row r="203" spans="1:9" x14ac:dyDescent="0.2">
      <c r="A203" t="s">
        <v>19</v>
      </c>
      <c r="B203" s="1">
        <v>45141</v>
      </c>
      <c r="C203" t="s">
        <v>98</v>
      </c>
      <c r="D203" s="14">
        <v>1.5</v>
      </c>
      <c r="E203" s="14">
        <v>0</v>
      </c>
      <c r="F203" s="14">
        <f t="shared" si="3"/>
        <v>-1.5</v>
      </c>
      <c r="G203" t="s">
        <v>8</v>
      </c>
      <c r="H203" t="s">
        <v>31</v>
      </c>
      <c r="I203" t="s">
        <v>34</v>
      </c>
    </row>
    <row r="204" spans="1:9" x14ac:dyDescent="0.2">
      <c r="A204" t="s">
        <v>19</v>
      </c>
      <c r="B204" s="1">
        <v>45152</v>
      </c>
      <c r="C204" t="s">
        <v>160</v>
      </c>
      <c r="D204" s="14">
        <v>0.88</v>
      </c>
      <c r="E204" s="14">
        <v>0</v>
      </c>
      <c r="F204" s="14">
        <f t="shared" si="3"/>
        <v>-0.88</v>
      </c>
      <c r="G204" t="s">
        <v>8</v>
      </c>
      <c r="H204" t="s">
        <v>31</v>
      </c>
      <c r="I204" t="s">
        <v>34</v>
      </c>
    </row>
    <row r="205" spans="1:9" x14ac:dyDescent="0.2">
      <c r="A205" t="s">
        <v>19</v>
      </c>
      <c r="B205" s="1">
        <v>45156</v>
      </c>
      <c r="C205" t="s">
        <v>98</v>
      </c>
      <c r="D205" s="14">
        <v>0.5</v>
      </c>
      <c r="E205" s="14">
        <v>0</v>
      </c>
      <c r="F205" s="14">
        <f t="shared" si="3"/>
        <v>-0.5</v>
      </c>
      <c r="G205" t="s">
        <v>8</v>
      </c>
      <c r="H205" t="s">
        <v>31</v>
      </c>
      <c r="I205" t="s">
        <v>34</v>
      </c>
    </row>
    <row r="206" spans="1:9" x14ac:dyDescent="0.2">
      <c r="A206" t="s">
        <v>20</v>
      </c>
      <c r="B206" s="1">
        <v>45170</v>
      </c>
      <c r="C206" t="s">
        <v>61</v>
      </c>
      <c r="D206" s="14">
        <v>52</v>
      </c>
      <c r="E206" s="14">
        <v>0</v>
      </c>
      <c r="F206" s="14">
        <f t="shared" si="3"/>
        <v>-52</v>
      </c>
      <c r="G206" t="s">
        <v>11</v>
      </c>
      <c r="H206" t="s">
        <v>28</v>
      </c>
      <c r="I206" t="s">
        <v>34</v>
      </c>
    </row>
    <row r="207" spans="1:9" x14ac:dyDescent="0.2">
      <c r="A207" t="s">
        <v>19</v>
      </c>
      <c r="B207" s="1">
        <v>45166</v>
      </c>
      <c r="C207" t="s">
        <v>151</v>
      </c>
      <c r="D207" s="14">
        <v>41.51</v>
      </c>
      <c r="E207" s="14">
        <v>0</v>
      </c>
      <c r="F207" s="14">
        <f t="shared" si="3"/>
        <v>-41.51</v>
      </c>
      <c r="G207" t="s">
        <v>11</v>
      </c>
      <c r="H207" t="s">
        <v>28</v>
      </c>
      <c r="I207" t="s">
        <v>34</v>
      </c>
    </row>
    <row r="208" spans="1:9" x14ac:dyDescent="0.2">
      <c r="A208" t="s">
        <v>20</v>
      </c>
      <c r="B208" s="1">
        <v>45110</v>
      </c>
      <c r="C208" t="s">
        <v>61</v>
      </c>
      <c r="D208" s="14">
        <v>52</v>
      </c>
      <c r="E208" s="14">
        <v>0</v>
      </c>
      <c r="F208" s="14">
        <f t="shared" si="3"/>
        <v>-52</v>
      </c>
      <c r="G208" t="s">
        <v>11</v>
      </c>
      <c r="H208" t="s">
        <v>28</v>
      </c>
      <c r="I208" t="s">
        <v>34</v>
      </c>
    </row>
    <row r="209" spans="1:9" x14ac:dyDescent="0.2">
      <c r="A209" t="s">
        <v>19</v>
      </c>
      <c r="B209" s="1">
        <v>45136</v>
      </c>
      <c r="C209" t="s">
        <v>151</v>
      </c>
      <c r="D209" s="14">
        <v>41.51</v>
      </c>
      <c r="E209" s="14">
        <v>0</v>
      </c>
      <c r="F209" s="14">
        <f t="shared" si="3"/>
        <v>-41.51</v>
      </c>
      <c r="G209" t="s">
        <v>11</v>
      </c>
      <c r="H209" t="s">
        <v>28</v>
      </c>
      <c r="I209" t="s">
        <v>34</v>
      </c>
    </row>
    <row r="210" spans="1:9" x14ac:dyDescent="0.2">
      <c r="A210" t="s">
        <v>20</v>
      </c>
      <c r="B210" s="1">
        <v>45138</v>
      </c>
      <c r="C210" t="s">
        <v>61</v>
      </c>
      <c r="D210" s="14">
        <v>52</v>
      </c>
      <c r="E210" s="14">
        <v>0</v>
      </c>
      <c r="F210" s="14">
        <f t="shared" si="3"/>
        <v>-52</v>
      </c>
      <c r="G210" t="s">
        <v>11</v>
      </c>
      <c r="H210" t="s">
        <v>28</v>
      </c>
      <c r="I210" t="s">
        <v>34</v>
      </c>
    </row>
    <row r="211" spans="1:9" x14ac:dyDescent="0.2">
      <c r="A211" t="s">
        <v>20</v>
      </c>
      <c r="B211" s="1">
        <v>45174</v>
      </c>
      <c r="C211" t="s">
        <v>80</v>
      </c>
      <c r="D211" s="14">
        <v>1000</v>
      </c>
      <c r="E211" s="14">
        <v>0</v>
      </c>
      <c r="F211" s="14">
        <f t="shared" si="3"/>
        <v>-1000</v>
      </c>
      <c r="G211" t="s">
        <v>27</v>
      </c>
      <c r="H211" t="s">
        <v>28</v>
      </c>
      <c r="I211" t="s">
        <v>34</v>
      </c>
    </row>
    <row r="212" spans="1:9" x14ac:dyDescent="0.2">
      <c r="A212" t="s">
        <v>20</v>
      </c>
      <c r="B212" s="1">
        <v>45112</v>
      </c>
      <c r="C212" t="s">
        <v>80</v>
      </c>
      <c r="D212" s="14">
        <v>1000</v>
      </c>
      <c r="E212" s="14">
        <v>0</v>
      </c>
      <c r="F212" s="14">
        <f t="shared" si="3"/>
        <v>-1000</v>
      </c>
      <c r="G212" t="s">
        <v>27</v>
      </c>
      <c r="H212" t="s">
        <v>28</v>
      </c>
      <c r="I212" t="s">
        <v>34</v>
      </c>
    </row>
    <row r="213" spans="1:9" x14ac:dyDescent="0.2">
      <c r="A213" t="s">
        <v>20</v>
      </c>
      <c r="B213" s="1">
        <v>45140</v>
      </c>
      <c r="C213" t="s">
        <v>80</v>
      </c>
      <c r="D213" s="14">
        <v>1000</v>
      </c>
      <c r="E213" s="14">
        <v>0</v>
      </c>
      <c r="F213" s="14">
        <f t="shared" si="3"/>
        <v>-1000</v>
      </c>
      <c r="G213" t="s">
        <v>27</v>
      </c>
      <c r="H213" t="s">
        <v>28</v>
      </c>
      <c r="I213" t="s">
        <v>34</v>
      </c>
    </row>
    <row r="214" spans="1:9" x14ac:dyDescent="0.2">
      <c r="A214" t="s">
        <v>20</v>
      </c>
      <c r="B214" s="1">
        <v>45174</v>
      </c>
      <c r="C214" t="s">
        <v>87</v>
      </c>
      <c r="D214" s="14">
        <v>98.2</v>
      </c>
      <c r="E214" s="14">
        <v>0</v>
      </c>
      <c r="F214" s="14">
        <f t="shared" si="3"/>
        <v>-98.2</v>
      </c>
      <c r="G214" t="s">
        <v>50</v>
      </c>
      <c r="H214" t="s">
        <v>28</v>
      </c>
      <c r="I214" t="s">
        <v>34</v>
      </c>
    </row>
    <row r="215" spans="1:9" x14ac:dyDescent="0.2">
      <c r="A215" t="s">
        <v>20</v>
      </c>
      <c r="B215" s="1">
        <v>45187</v>
      </c>
      <c r="C215" t="s">
        <v>87</v>
      </c>
      <c r="D215" s="14">
        <v>98.19</v>
      </c>
      <c r="E215" s="14">
        <v>0</v>
      </c>
      <c r="F215" s="14">
        <f t="shared" si="3"/>
        <v>-98.19</v>
      </c>
      <c r="G215" t="s">
        <v>50</v>
      </c>
      <c r="H215" t="s">
        <v>28</v>
      </c>
      <c r="I215" t="s">
        <v>34</v>
      </c>
    </row>
    <row r="216" spans="1:9" x14ac:dyDescent="0.2">
      <c r="A216" t="s">
        <v>20</v>
      </c>
      <c r="B216" s="1">
        <v>45112</v>
      </c>
      <c r="C216" t="s">
        <v>87</v>
      </c>
      <c r="D216" s="14">
        <v>89.32</v>
      </c>
      <c r="E216" s="14">
        <v>0</v>
      </c>
      <c r="F216" s="14">
        <f t="shared" si="3"/>
        <v>-89.32</v>
      </c>
      <c r="G216" t="s">
        <v>50</v>
      </c>
      <c r="H216" t="s">
        <v>28</v>
      </c>
      <c r="I216" t="s">
        <v>34</v>
      </c>
    </row>
    <row r="217" spans="1:9" x14ac:dyDescent="0.2">
      <c r="A217" t="s">
        <v>20</v>
      </c>
      <c r="B217" s="1">
        <v>45123</v>
      </c>
      <c r="C217" t="s">
        <v>87</v>
      </c>
      <c r="D217" s="14">
        <v>89.28</v>
      </c>
      <c r="E217" s="14">
        <v>0</v>
      </c>
      <c r="F217" s="14">
        <f t="shared" si="3"/>
        <v>-89.28</v>
      </c>
      <c r="G217" t="s">
        <v>50</v>
      </c>
      <c r="H217" t="s">
        <v>28</v>
      </c>
      <c r="I217" t="s">
        <v>34</v>
      </c>
    </row>
    <row r="218" spans="1:9" x14ac:dyDescent="0.2">
      <c r="A218" t="s">
        <v>20</v>
      </c>
      <c r="B218" s="1">
        <v>45154</v>
      </c>
      <c r="C218" t="s">
        <v>87</v>
      </c>
      <c r="D218" s="14">
        <v>89.28</v>
      </c>
      <c r="E218" s="14">
        <v>0</v>
      </c>
      <c r="F218" s="14">
        <f t="shared" si="3"/>
        <v>-89.28</v>
      </c>
      <c r="G218" t="s">
        <v>50</v>
      </c>
      <c r="H218" t="s">
        <v>28</v>
      </c>
      <c r="I218" t="s">
        <v>34</v>
      </c>
    </row>
    <row r="219" spans="1:9" x14ac:dyDescent="0.2">
      <c r="A219" t="s">
        <v>20</v>
      </c>
      <c r="B219" s="1">
        <v>45143</v>
      </c>
      <c r="C219" t="s">
        <v>87</v>
      </c>
      <c r="D219" s="14">
        <v>89.28</v>
      </c>
      <c r="E219" s="14">
        <v>0</v>
      </c>
      <c r="F219" s="14">
        <f t="shared" si="3"/>
        <v>-89.28</v>
      </c>
      <c r="G219" t="s">
        <v>50</v>
      </c>
      <c r="H219" t="s">
        <v>28</v>
      </c>
      <c r="I219" t="s">
        <v>34</v>
      </c>
    </row>
    <row r="220" spans="1:9" x14ac:dyDescent="0.2">
      <c r="A220" t="s">
        <v>20</v>
      </c>
      <c r="B220" s="1">
        <v>45184</v>
      </c>
      <c r="C220" t="s">
        <v>59</v>
      </c>
      <c r="E220">
        <v>2550.61</v>
      </c>
      <c r="F220">
        <f t="shared" si="3"/>
        <v>2550.61</v>
      </c>
      <c r="G220" t="s">
        <v>25</v>
      </c>
      <c r="H220" t="s">
        <v>25</v>
      </c>
      <c r="I220" t="s">
        <v>17</v>
      </c>
    </row>
    <row r="221" spans="1:9" x14ac:dyDescent="0.2">
      <c r="A221" t="s">
        <v>20</v>
      </c>
      <c r="B221" s="1">
        <v>45114</v>
      </c>
      <c r="C221" t="s">
        <v>59</v>
      </c>
      <c r="E221">
        <v>1898.03</v>
      </c>
      <c r="F221">
        <f t="shared" si="3"/>
        <v>1898.03</v>
      </c>
      <c r="G221" t="s">
        <v>25</v>
      </c>
      <c r="H221" t="s">
        <v>25</v>
      </c>
      <c r="I221" t="s">
        <v>17</v>
      </c>
    </row>
    <row r="222" spans="1:9" x14ac:dyDescent="0.2">
      <c r="A222" t="s">
        <v>20</v>
      </c>
      <c r="B222" s="1">
        <v>45128</v>
      </c>
      <c r="C222" t="s">
        <v>59</v>
      </c>
      <c r="E222">
        <v>1898.02</v>
      </c>
      <c r="F222">
        <f t="shared" si="3"/>
        <v>1898.02</v>
      </c>
      <c r="G222" t="s">
        <v>25</v>
      </c>
      <c r="H222" t="s">
        <v>25</v>
      </c>
      <c r="I222" t="s">
        <v>17</v>
      </c>
    </row>
    <row r="223" spans="1:9" x14ac:dyDescent="0.2">
      <c r="A223" t="s">
        <v>20</v>
      </c>
      <c r="B223" s="1">
        <v>45142</v>
      </c>
      <c r="C223" t="s">
        <v>59</v>
      </c>
      <c r="E223">
        <v>2550.62</v>
      </c>
      <c r="F223">
        <f t="shared" si="3"/>
        <v>2550.62</v>
      </c>
      <c r="G223" t="s">
        <v>25</v>
      </c>
      <c r="H223" t="s">
        <v>25</v>
      </c>
      <c r="I223" t="s">
        <v>17</v>
      </c>
    </row>
    <row r="224" spans="1:9" x14ac:dyDescent="0.2">
      <c r="A224" t="s">
        <v>20</v>
      </c>
      <c r="B224" s="1">
        <v>45156</v>
      </c>
      <c r="C224" t="s">
        <v>59</v>
      </c>
      <c r="E224">
        <v>2550.61</v>
      </c>
      <c r="F224">
        <f t="shared" si="3"/>
        <v>2550.61</v>
      </c>
      <c r="G224" t="s">
        <v>25</v>
      </c>
      <c r="H224" t="s">
        <v>25</v>
      </c>
      <c r="I224" t="s">
        <v>17</v>
      </c>
    </row>
    <row r="225" spans="1:9" x14ac:dyDescent="0.2">
      <c r="A225" t="s">
        <v>20</v>
      </c>
      <c r="B225" s="1">
        <v>45170</v>
      </c>
      <c r="C225" t="s">
        <v>59</v>
      </c>
      <c r="E225">
        <v>2550.61</v>
      </c>
      <c r="F225">
        <f t="shared" si="3"/>
        <v>2550.61</v>
      </c>
      <c r="G225" t="s">
        <v>25</v>
      </c>
      <c r="H225" t="s">
        <v>25</v>
      </c>
      <c r="I225" t="s">
        <v>17</v>
      </c>
    </row>
    <row r="226" spans="1:9" x14ac:dyDescent="0.2">
      <c r="A226" t="s">
        <v>19</v>
      </c>
      <c r="B226" s="1">
        <v>45113</v>
      </c>
      <c r="C226" t="s">
        <v>62</v>
      </c>
      <c r="D226">
        <v>1.99</v>
      </c>
      <c r="E226">
        <v>0</v>
      </c>
      <c r="F226">
        <f t="shared" si="3"/>
        <v>-1.99</v>
      </c>
      <c r="G226" t="s">
        <v>33</v>
      </c>
      <c r="H226" t="s">
        <v>28</v>
      </c>
      <c r="I226" t="s">
        <v>34</v>
      </c>
    </row>
    <row r="227" spans="1:9" x14ac:dyDescent="0.2">
      <c r="A227" t="s">
        <v>19</v>
      </c>
      <c r="B227" s="1">
        <v>45122</v>
      </c>
      <c r="C227" t="s">
        <v>63</v>
      </c>
      <c r="D227">
        <v>6.99</v>
      </c>
      <c r="E227">
        <v>0</v>
      </c>
      <c r="F227">
        <f t="shared" si="3"/>
        <v>-6.99</v>
      </c>
      <c r="G227" t="s">
        <v>33</v>
      </c>
      <c r="H227" t="s">
        <v>28</v>
      </c>
      <c r="I227" t="s">
        <v>34</v>
      </c>
    </row>
    <row r="228" spans="1:9" x14ac:dyDescent="0.2">
      <c r="A228" t="s">
        <v>19</v>
      </c>
      <c r="B228" s="1">
        <v>45131</v>
      </c>
      <c r="C228" t="s">
        <v>64</v>
      </c>
      <c r="D228">
        <v>10.71</v>
      </c>
      <c r="E228">
        <v>0</v>
      </c>
      <c r="F228">
        <f t="shared" si="3"/>
        <v>-10.71</v>
      </c>
      <c r="G228" t="s">
        <v>33</v>
      </c>
      <c r="H228" t="s">
        <v>28</v>
      </c>
      <c r="I228" t="s">
        <v>34</v>
      </c>
    </row>
    <row r="229" spans="1:9" x14ac:dyDescent="0.2">
      <c r="A229" t="s">
        <v>19</v>
      </c>
      <c r="B229" s="1">
        <v>45138</v>
      </c>
      <c r="C229" t="s">
        <v>62</v>
      </c>
      <c r="D229">
        <v>2.99</v>
      </c>
      <c r="E229">
        <v>0</v>
      </c>
      <c r="F229">
        <f t="shared" si="3"/>
        <v>-2.99</v>
      </c>
      <c r="G229" t="s">
        <v>33</v>
      </c>
      <c r="H229" t="s">
        <v>28</v>
      </c>
      <c r="I229" t="s">
        <v>34</v>
      </c>
    </row>
    <row r="230" spans="1:9" x14ac:dyDescent="0.2">
      <c r="A230" t="s">
        <v>19</v>
      </c>
      <c r="B230" s="1">
        <v>45142</v>
      </c>
      <c r="C230" t="s">
        <v>62</v>
      </c>
      <c r="D230">
        <v>1.99</v>
      </c>
      <c r="E230">
        <v>0</v>
      </c>
      <c r="F230">
        <f t="shared" si="3"/>
        <v>-1.99</v>
      </c>
      <c r="G230" t="s">
        <v>33</v>
      </c>
      <c r="H230" t="s">
        <v>28</v>
      </c>
      <c r="I230" t="s">
        <v>34</v>
      </c>
    </row>
    <row r="231" spans="1:9" x14ac:dyDescent="0.2">
      <c r="A231" t="s">
        <v>19</v>
      </c>
      <c r="B231" s="1">
        <v>45154</v>
      </c>
      <c r="C231" t="s">
        <v>63</v>
      </c>
      <c r="D231">
        <v>6.99</v>
      </c>
      <c r="E231">
        <v>0</v>
      </c>
      <c r="F231">
        <f t="shared" si="3"/>
        <v>-6.99</v>
      </c>
      <c r="G231" t="s">
        <v>33</v>
      </c>
      <c r="H231" t="s">
        <v>28</v>
      </c>
      <c r="I231" t="s">
        <v>34</v>
      </c>
    </row>
    <row r="232" spans="1:9" x14ac:dyDescent="0.2">
      <c r="A232" t="s">
        <v>19</v>
      </c>
      <c r="B232" s="1">
        <v>45159</v>
      </c>
      <c r="C232" t="s">
        <v>64</v>
      </c>
      <c r="D232">
        <v>1.06</v>
      </c>
      <c r="E232">
        <v>0</v>
      </c>
      <c r="F232">
        <f t="shared" si="3"/>
        <v>-1.06</v>
      </c>
      <c r="G232" t="s">
        <v>33</v>
      </c>
      <c r="H232" t="s">
        <v>28</v>
      </c>
      <c r="I232" t="s">
        <v>34</v>
      </c>
    </row>
    <row r="233" spans="1:9" x14ac:dyDescent="0.2">
      <c r="A233" t="s">
        <v>19</v>
      </c>
      <c r="B233" s="1">
        <v>45176</v>
      </c>
      <c r="C233" t="s">
        <v>65</v>
      </c>
      <c r="D233">
        <v>2.15</v>
      </c>
      <c r="E233">
        <v>0</v>
      </c>
      <c r="F233">
        <f t="shared" si="3"/>
        <v>-2.15</v>
      </c>
      <c r="G233" t="s">
        <v>33</v>
      </c>
      <c r="H233" t="s">
        <v>28</v>
      </c>
      <c r="I233" t="s">
        <v>34</v>
      </c>
    </row>
    <row r="234" spans="1:9" x14ac:dyDescent="0.2">
      <c r="A234" t="s">
        <v>19</v>
      </c>
      <c r="B234" s="1">
        <v>45185</v>
      </c>
      <c r="C234" t="s">
        <v>63</v>
      </c>
      <c r="D234">
        <v>6.99</v>
      </c>
      <c r="E234">
        <v>0</v>
      </c>
      <c r="F234">
        <f t="shared" si="3"/>
        <v>-6.99</v>
      </c>
      <c r="G234" t="s">
        <v>33</v>
      </c>
      <c r="H234" t="s">
        <v>28</v>
      </c>
      <c r="I234" t="s">
        <v>34</v>
      </c>
    </row>
    <row r="235" spans="1:9" x14ac:dyDescent="0.2">
      <c r="A235" t="s">
        <v>19</v>
      </c>
      <c r="B235" s="1">
        <v>45182</v>
      </c>
      <c r="C235" t="s">
        <v>77</v>
      </c>
      <c r="D235">
        <v>6.99</v>
      </c>
      <c r="E235">
        <v>0</v>
      </c>
      <c r="F235">
        <f t="shared" si="3"/>
        <v>-6.99</v>
      </c>
      <c r="G235" t="s">
        <v>33</v>
      </c>
      <c r="H235" t="s">
        <v>28</v>
      </c>
      <c r="I235" t="s">
        <v>34</v>
      </c>
    </row>
    <row r="236" spans="1:9" x14ac:dyDescent="0.2">
      <c r="A236" t="s">
        <v>19</v>
      </c>
      <c r="B236" s="1">
        <v>45124</v>
      </c>
      <c r="C236" t="s">
        <v>62</v>
      </c>
      <c r="D236">
        <v>0.99</v>
      </c>
      <c r="E236">
        <v>0</v>
      </c>
      <c r="F236">
        <f t="shared" si="3"/>
        <v>-0.99</v>
      </c>
      <c r="G236" t="s">
        <v>33</v>
      </c>
      <c r="H236" t="s">
        <v>28</v>
      </c>
      <c r="I236" t="s">
        <v>34</v>
      </c>
    </row>
    <row r="237" spans="1:9" x14ac:dyDescent="0.2">
      <c r="A237" t="s">
        <v>19</v>
      </c>
      <c r="B237" s="1">
        <v>45155</v>
      </c>
      <c r="C237" t="s">
        <v>62</v>
      </c>
      <c r="D237">
        <v>0.99</v>
      </c>
      <c r="E237">
        <v>0</v>
      </c>
      <c r="F237">
        <f t="shared" si="3"/>
        <v>-0.99</v>
      </c>
      <c r="G237" t="s">
        <v>33</v>
      </c>
      <c r="H237" t="s">
        <v>28</v>
      </c>
      <c r="I237" t="s">
        <v>34</v>
      </c>
    </row>
    <row r="238" spans="1:9" x14ac:dyDescent="0.2">
      <c r="A238" t="s">
        <v>19</v>
      </c>
      <c r="B238" s="1">
        <v>45168</v>
      </c>
      <c r="C238" t="s">
        <v>62</v>
      </c>
      <c r="D238">
        <v>2.99</v>
      </c>
      <c r="E238">
        <v>0</v>
      </c>
      <c r="F238">
        <f t="shared" si="3"/>
        <v>-2.99</v>
      </c>
      <c r="G238" t="s">
        <v>33</v>
      </c>
      <c r="H238" t="s">
        <v>28</v>
      </c>
      <c r="I238" t="s">
        <v>34</v>
      </c>
    </row>
    <row r="239" spans="1:9" x14ac:dyDescent="0.2">
      <c r="A239" t="s">
        <v>19</v>
      </c>
      <c r="B239" s="1">
        <v>45169</v>
      </c>
      <c r="C239" t="s">
        <v>62</v>
      </c>
      <c r="D239">
        <v>1.99</v>
      </c>
      <c r="E239">
        <v>0</v>
      </c>
      <c r="F239">
        <f t="shared" si="3"/>
        <v>-1.99</v>
      </c>
      <c r="G239" t="s">
        <v>33</v>
      </c>
      <c r="H239" t="s">
        <v>28</v>
      </c>
      <c r="I239" t="s">
        <v>34</v>
      </c>
    </row>
    <row r="240" spans="1:9" x14ac:dyDescent="0.2">
      <c r="A240" t="s">
        <v>19</v>
      </c>
      <c r="B240" s="1">
        <v>45152</v>
      </c>
      <c r="C240" t="s">
        <v>109</v>
      </c>
      <c r="D240">
        <v>6.99</v>
      </c>
      <c r="E240">
        <v>0</v>
      </c>
      <c r="F240">
        <f t="shared" si="3"/>
        <v>-6.99</v>
      </c>
      <c r="G240" t="s">
        <v>33</v>
      </c>
      <c r="H240" t="s">
        <v>28</v>
      </c>
      <c r="I240" t="s">
        <v>34</v>
      </c>
    </row>
    <row r="241" spans="1:9" x14ac:dyDescent="0.2">
      <c r="A241" t="s">
        <v>19</v>
      </c>
      <c r="B241" s="1">
        <v>45183</v>
      </c>
      <c r="C241" t="s">
        <v>68</v>
      </c>
      <c r="D241">
        <v>11.01</v>
      </c>
      <c r="E241">
        <v>0</v>
      </c>
      <c r="F241">
        <f t="shared" si="3"/>
        <v>-11.01</v>
      </c>
      <c r="G241" t="s">
        <v>36</v>
      </c>
      <c r="H241" t="s">
        <v>28</v>
      </c>
      <c r="I241" t="s">
        <v>34</v>
      </c>
    </row>
    <row r="242" spans="1:9" x14ac:dyDescent="0.2">
      <c r="A242" t="s">
        <v>19</v>
      </c>
      <c r="B242" s="1">
        <v>45111</v>
      </c>
      <c r="C242" t="s">
        <v>92</v>
      </c>
      <c r="D242">
        <v>16</v>
      </c>
      <c r="E242">
        <v>0</v>
      </c>
      <c r="F242">
        <f t="shared" si="3"/>
        <v>-16</v>
      </c>
      <c r="G242" t="s">
        <v>36</v>
      </c>
      <c r="H242" t="s">
        <v>28</v>
      </c>
      <c r="I242" t="s">
        <v>34</v>
      </c>
    </row>
    <row r="243" spans="1:9" x14ac:dyDescent="0.2">
      <c r="A243" t="s">
        <v>19</v>
      </c>
      <c r="B243" s="1">
        <v>45118</v>
      </c>
      <c r="C243" t="s">
        <v>161</v>
      </c>
      <c r="D243">
        <v>10</v>
      </c>
      <c r="E243">
        <v>0</v>
      </c>
      <c r="F243">
        <f t="shared" si="3"/>
        <v>-10</v>
      </c>
      <c r="G243" t="s">
        <v>36</v>
      </c>
      <c r="H243" t="s">
        <v>28</v>
      </c>
      <c r="I243" t="s">
        <v>34</v>
      </c>
    </row>
    <row r="244" spans="1:9" x14ac:dyDescent="0.2">
      <c r="A244" t="s">
        <v>19</v>
      </c>
      <c r="B244" s="1">
        <v>45129</v>
      </c>
      <c r="C244" t="s">
        <v>162</v>
      </c>
      <c r="D244">
        <v>18.489999999999998</v>
      </c>
      <c r="E244">
        <v>0</v>
      </c>
      <c r="F244">
        <f t="shared" si="3"/>
        <v>-18.489999999999998</v>
      </c>
      <c r="G244" t="s">
        <v>36</v>
      </c>
      <c r="H244" t="s">
        <v>28</v>
      </c>
      <c r="I244" t="s">
        <v>34</v>
      </c>
    </row>
    <row r="245" spans="1:9" x14ac:dyDescent="0.2">
      <c r="A245" t="s">
        <v>20</v>
      </c>
      <c r="B245" s="1">
        <v>45131</v>
      </c>
      <c r="C245" t="s">
        <v>83</v>
      </c>
      <c r="D245">
        <v>6.27</v>
      </c>
      <c r="E245">
        <v>0</v>
      </c>
      <c r="F245">
        <f t="shared" si="3"/>
        <v>-6.27</v>
      </c>
      <c r="G245" t="s">
        <v>36</v>
      </c>
      <c r="H245" t="s">
        <v>28</v>
      </c>
      <c r="I245" t="s">
        <v>34</v>
      </c>
    </row>
    <row r="246" spans="1:9" x14ac:dyDescent="0.2">
      <c r="A246" t="s">
        <v>19</v>
      </c>
      <c r="B246" s="1">
        <v>45131</v>
      </c>
      <c r="C246" t="s">
        <v>163</v>
      </c>
      <c r="D246">
        <v>14.48</v>
      </c>
      <c r="E246">
        <v>0</v>
      </c>
      <c r="F246">
        <f t="shared" si="3"/>
        <v>-14.48</v>
      </c>
      <c r="G246" t="s">
        <v>36</v>
      </c>
      <c r="H246" t="s">
        <v>28</v>
      </c>
      <c r="I246" t="s">
        <v>34</v>
      </c>
    </row>
    <row r="247" spans="1:9" x14ac:dyDescent="0.2">
      <c r="A247" t="s">
        <v>19</v>
      </c>
      <c r="B247" s="1">
        <v>45141</v>
      </c>
      <c r="C247" t="s">
        <v>164</v>
      </c>
      <c r="D247">
        <v>13.93</v>
      </c>
      <c r="E247">
        <v>0</v>
      </c>
      <c r="F247">
        <f t="shared" si="3"/>
        <v>-13.93</v>
      </c>
      <c r="G247" t="s">
        <v>36</v>
      </c>
      <c r="H247" t="s">
        <v>28</v>
      </c>
      <c r="I247" t="s">
        <v>34</v>
      </c>
    </row>
    <row r="248" spans="1:9" x14ac:dyDescent="0.2">
      <c r="A248" t="s">
        <v>19</v>
      </c>
      <c r="B248" s="1">
        <v>45148</v>
      </c>
      <c r="C248" t="s">
        <v>165</v>
      </c>
      <c r="D248">
        <v>23.58</v>
      </c>
      <c r="E248">
        <v>0</v>
      </c>
      <c r="F248">
        <f t="shared" si="3"/>
        <v>-23.58</v>
      </c>
      <c r="G248" t="s">
        <v>36</v>
      </c>
      <c r="H248" t="s">
        <v>28</v>
      </c>
      <c r="I248" t="s">
        <v>34</v>
      </c>
    </row>
    <row r="249" spans="1:9" x14ac:dyDescent="0.2">
      <c r="A249" t="s">
        <v>19</v>
      </c>
      <c r="B249" s="1">
        <v>45159</v>
      </c>
      <c r="C249" t="s">
        <v>166</v>
      </c>
      <c r="D249">
        <v>37.979999999999997</v>
      </c>
      <c r="E249">
        <v>0</v>
      </c>
      <c r="F249">
        <f t="shared" si="3"/>
        <v>-37.979999999999997</v>
      </c>
      <c r="G249" t="s">
        <v>36</v>
      </c>
      <c r="H249" t="s">
        <v>28</v>
      </c>
      <c r="I249" t="s">
        <v>34</v>
      </c>
    </row>
    <row r="250" spans="1:9" x14ac:dyDescent="0.2">
      <c r="A250" t="s">
        <v>19</v>
      </c>
      <c r="B250" s="1">
        <v>45163</v>
      </c>
      <c r="C250" t="s">
        <v>167</v>
      </c>
      <c r="D250">
        <v>21.83</v>
      </c>
      <c r="E250">
        <v>0</v>
      </c>
      <c r="F250">
        <f t="shared" si="3"/>
        <v>-21.83</v>
      </c>
      <c r="G250" t="s">
        <v>36</v>
      </c>
      <c r="H250" t="s">
        <v>28</v>
      </c>
      <c r="I250" t="s">
        <v>34</v>
      </c>
    </row>
    <row r="251" spans="1:9" x14ac:dyDescent="0.2">
      <c r="A251" t="s">
        <v>19</v>
      </c>
      <c r="B251" s="1">
        <v>45164</v>
      </c>
      <c r="C251" t="s">
        <v>168</v>
      </c>
      <c r="D251">
        <v>20.38</v>
      </c>
      <c r="E251">
        <v>0</v>
      </c>
      <c r="F251">
        <f t="shared" si="3"/>
        <v>-20.38</v>
      </c>
      <c r="G251" t="s">
        <v>36</v>
      </c>
      <c r="H251" t="s">
        <v>28</v>
      </c>
      <c r="I251" t="s">
        <v>34</v>
      </c>
    </row>
  </sheetData>
  <autoFilter ref="A1:I1" xr:uid="{00000000-0001-0000-0000-000000000000}">
    <sortState xmlns:xlrd2="http://schemas.microsoft.com/office/spreadsheetml/2017/richdata2" ref="A2:I246">
      <sortCondition ref="G1:G246"/>
    </sortState>
  </autoFilter>
  <dataValidations count="1">
    <dataValidation type="list" allowBlank="1" showInputMessage="1" showErrorMessage="1" sqref="G1" xr:uid="{657EA9E7-2BDE-9441-90FD-36C9426A23C4}">
      <formula1>$B$1:$B$21</formula1>
    </dataValidation>
  </dataValidations>
  <pageMargins left="0.75" right="0.75" top="1" bottom="1" header="0.5" footer="0.5"/>
  <extLst>
    <ext xmlns:x14="http://schemas.microsoft.com/office/spreadsheetml/2009/9/main" uri="{CCE6A557-97BC-4b89-ADB6-D9C93CAAB3DF}">
      <x14:dataValidations xmlns:xm="http://schemas.microsoft.com/office/excel/2006/main" count="1">
        <x14:dataValidation type="list" allowBlank="1" showInputMessage="1" showErrorMessage="1" xr:uid="{AAE9F83D-0699-7A44-A47D-BE0D986CEE75}">
          <x14:formula1>
            <xm:f>'Data Validation'!$B$2:$B$26</xm:f>
          </x14:formula1>
          <xm:sqref>G2:G251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C32164-B355-0747-ACC1-A8AFC8C4B93B}">
  <dimension ref="A1:P46"/>
  <sheetViews>
    <sheetView workbookViewId="0">
      <selection activeCell="H25" sqref="H25"/>
    </sheetView>
  </sheetViews>
  <sheetFormatPr baseColWidth="10" defaultRowHeight="16" x14ac:dyDescent="0.2"/>
  <cols>
    <col min="1" max="1" width="12.5703125" bestFit="1" customWidth="1"/>
    <col min="2" max="2" width="11.42578125" bestFit="1" customWidth="1"/>
    <col min="3" max="3" width="11.85546875" customWidth="1"/>
    <col min="4" max="4" width="12.5703125" bestFit="1" customWidth="1"/>
    <col min="5" max="6" width="11.42578125" bestFit="1" customWidth="1"/>
    <col min="7" max="7" width="27.5703125" bestFit="1" customWidth="1"/>
    <col min="8" max="8" width="11.42578125" bestFit="1" customWidth="1"/>
    <col min="10" max="10" width="12.5703125" bestFit="1" customWidth="1"/>
    <col min="11" max="11" width="15.28515625" bestFit="1" customWidth="1"/>
    <col min="12" max="12" width="12.140625" bestFit="1" customWidth="1"/>
    <col min="13" max="13" width="9" bestFit="1" customWidth="1"/>
    <col min="14" max="14" width="9.42578125" bestFit="1" customWidth="1"/>
    <col min="15" max="15" width="7.28515625" bestFit="1" customWidth="1"/>
    <col min="16" max="16" width="9.28515625" bestFit="1" customWidth="1"/>
    <col min="17" max="18" width="10.42578125" bestFit="1" customWidth="1"/>
  </cols>
  <sheetData>
    <row r="1" spans="1:16" x14ac:dyDescent="0.2">
      <c r="A1" s="11" t="s">
        <v>52</v>
      </c>
      <c r="D1" s="11" t="s">
        <v>53</v>
      </c>
      <c r="G1" s="11" t="s">
        <v>54</v>
      </c>
      <c r="J1" s="11" t="s">
        <v>55</v>
      </c>
    </row>
    <row r="2" spans="1:16" x14ac:dyDescent="0.2">
      <c r="A2" s="12" t="s">
        <v>38</v>
      </c>
      <c r="B2" t="s">
        <v>37</v>
      </c>
      <c r="D2" s="12" t="s">
        <v>22</v>
      </c>
      <c r="E2" t="s">
        <v>43</v>
      </c>
      <c r="G2" s="12" t="s">
        <v>19</v>
      </c>
      <c r="H2" t="s">
        <v>43</v>
      </c>
      <c r="J2" s="12" t="s">
        <v>22</v>
      </c>
      <c r="K2" t="s">
        <v>43</v>
      </c>
    </row>
    <row r="3" spans="1:16" x14ac:dyDescent="0.2">
      <c r="A3" s="13" t="s">
        <v>28</v>
      </c>
      <c r="B3" s="14">
        <v>6454.859999999996</v>
      </c>
    </row>
    <row r="4" spans="1:16" x14ac:dyDescent="0.2">
      <c r="A4" s="13" t="s">
        <v>23</v>
      </c>
      <c r="B4" s="14">
        <v>1421.66</v>
      </c>
      <c r="D4" s="12" t="s">
        <v>38</v>
      </c>
      <c r="E4" t="s">
        <v>37</v>
      </c>
      <c r="G4" s="12" t="s">
        <v>38</v>
      </c>
      <c r="H4" t="s">
        <v>44</v>
      </c>
      <c r="J4" s="12" t="s">
        <v>37</v>
      </c>
      <c r="K4" s="12" t="s">
        <v>46</v>
      </c>
    </row>
    <row r="5" spans="1:16" x14ac:dyDescent="0.2">
      <c r="A5" s="13" t="s">
        <v>31</v>
      </c>
      <c r="B5" s="14">
        <v>1134.45</v>
      </c>
      <c r="D5" s="15" t="s">
        <v>40</v>
      </c>
      <c r="E5" s="14">
        <v>3642.8899999999994</v>
      </c>
      <c r="G5" s="15" t="s">
        <v>40</v>
      </c>
      <c r="H5" s="14">
        <v>3796.05</v>
      </c>
      <c r="J5" s="12" t="s">
        <v>38</v>
      </c>
      <c r="K5" t="s">
        <v>28</v>
      </c>
      <c r="L5" t="s">
        <v>23</v>
      </c>
      <c r="M5" t="s">
        <v>31</v>
      </c>
      <c r="N5" t="s">
        <v>13</v>
      </c>
      <c r="O5" t="s">
        <v>24</v>
      </c>
      <c r="P5" t="s">
        <v>26</v>
      </c>
    </row>
    <row r="6" spans="1:16" x14ac:dyDescent="0.2">
      <c r="A6" s="13" t="s">
        <v>13</v>
      </c>
      <c r="B6" s="14">
        <v>869.11999999999989</v>
      </c>
      <c r="D6" s="15" t="s">
        <v>41</v>
      </c>
      <c r="E6" s="14">
        <v>3734.2499999999986</v>
      </c>
      <c r="G6" s="15" t="s">
        <v>41</v>
      </c>
      <c r="H6" s="14">
        <v>5244.45</v>
      </c>
      <c r="J6" s="15" t="s">
        <v>40</v>
      </c>
      <c r="K6" s="14">
        <v>2139.6099999999988</v>
      </c>
      <c r="L6" s="14">
        <v>627.67000000000007</v>
      </c>
      <c r="M6" s="14">
        <v>494.91999999999996</v>
      </c>
      <c r="N6" s="14">
        <v>228.05000000000004</v>
      </c>
      <c r="O6" s="14">
        <v>152.63999999999999</v>
      </c>
      <c r="P6" s="14"/>
    </row>
    <row r="7" spans="1:16" x14ac:dyDescent="0.2">
      <c r="A7" s="13" t="s">
        <v>24</v>
      </c>
      <c r="B7" s="14">
        <v>314.39999999999998</v>
      </c>
      <c r="D7" s="15" t="s">
        <v>42</v>
      </c>
      <c r="E7" s="14">
        <v>3124.3500000000004</v>
      </c>
      <c r="G7" s="15" t="s">
        <v>42</v>
      </c>
      <c r="H7" s="14">
        <v>5101.22</v>
      </c>
      <c r="J7" s="15" t="s">
        <v>41</v>
      </c>
      <c r="K7" s="14">
        <v>2144.5299999999984</v>
      </c>
      <c r="L7" s="14">
        <v>385.75</v>
      </c>
      <c r="M7" s="14">
        <v>391.35</v>
      </c>
      <c r="N7" s="14">
        <v>476.96</v>
      </c>
      <c r="O7" s="14">
        <v>113.66</v>
      </c>
      <c r="P7" s="14">
        <v>222</v>
      </c>
    </row>
    <row r="8" spans="1:16" x14ac:dyDescent="0.2">
      <c r="A8" s="13" t="s">
        <v>26</v>
      </c>
      <c r="B8" s="14">
        <v>307</v>
      </c>
      <c r="D8" s="15" t="s">
        <v>39</v>
      </c>
      <c r="E8" s="14">
        <v>10501.489999999998</v>
      </c>
      <c r="G8" s="15" t="s">
        <v>45</v>
      </c>
      <c r="H8" s="14">
        <v>14141.720000000001</v>
      </c>
      <c r="J8" s="15" t="s">
        <v>42</v>
      </c>
      <c r="K8" s="14">
        <v>2170.7199999999998</v>
      </c>
      <c r="L8" s="14">
        <v>408.24</v>
      </c>
      <c r="M8" s="14">
        <v>248.18</v>
      </c>
      <c r="N8" s="14">
        <v>164.11</v>
      </c>
      <c r="O8" s="14">
        <v>48.1</v>
      </c>
      <c r="P8" s="14">
        <v>85</v>
      </c>
    </row>
    <row r="9" spans="1:16" x14ac:dyDescent="0.2">
      <c r="A9" s="13" t="s">
        <v>39</v>
      </c>
      <c r="B9" s="14">
        <v>10501.489999999998</v>
      </c>
    </row>
    <row r="14" spans="1:16" x14ac:dyDescent="0.2">
      <c r="B14" t="str" cm="1">
        <f t="array" ref="B14">"Total Spend by Account - "&amp;_xlfn.IFS(B15="(All)","July-September 2023",B15="(Multiple Items)","Selected Period",TRUE,B15)</f>
        <v>Total Spend by Account - July-September 2023</v>
      </c>
    </row>
    <row r="15" spans="1:16" x14ac:dyDescent="0.2">
      <c r="A15" s="12" t="s">
        <v>0</v>
      </c>
      <c r="B15" t="s">
        <v>43</v>
      </c>
    </row>
    <row r="17" spans="1:15" x14ac:dyDescent="0.2">
      <c r="A17" s="12" t="s">
        <v>38</v>
      </c>
      <c r="B17" t="s">
        <v>37</v>
      </c>
    </row>
    <row r="18" spans="1:15" x14ac:dyDescent="0.2">
      <c r="A18" s="13" t="s">
        <v>20</v>
      </c>
      <c r="B18" s="14">
        <v>5009.1999999999989</v>
      </c>
    </row>
    <row r="19" spans="1:15" x14ac:dyDescent="0.2">
      <c r="A19" s="13" t="s">
        <v>19</v>
      </c>
      <c r="B19" s="14">
        <v>5492.2899999999936</v>
      </c>
    </row>
    <row r="20" spans="1:15" x14ac:dyDescent="0.2">
      <c r="A20" s="13" t="s">
        <v>39</v>
      </c>
      <c r="B20" s="14">
        <v>10501.489999999993</v>
      </c>
    </row>
    <row r="24" spans="1:15" x14ac:dyDescent="0.2">
      <c r="A24" s="11" t="s">
        <v>56</v>
      </c>
      <c r="H24" t="str" cm="1">
        <f t="array" ref="H24">"Top 5 Sub-Categories - "&amp;_xlfn.IFS(H25="(All)","July-September 2023",H25="(Multiple Items)","Selected Period",TRUE,H25)</f>
        <v>Top 5 Sub-Categories - July-September 2023</v>
      </c>
    </row>
    <row r="25" spans="1:15" x14ac:dyDescent="0.2">
      <c r="B25" t="str" cm="1">
        <f t="array" ref="B25">"Expense by Category - "&amp;_xlfn.IFS(B26="(All)","July-September 2023",B26="(Multiple Items)","Selected Period",TRUE,B26)</f>
        <v>Expense by Category - July-September 2023</v>
      </c>
      <c r="G25" s="12" t="s">
        <v>0</v>
      </c>
      <c r="H25" t="s">
        <v>43</v>
      </c>
    </row>
    <row r="26" spans="1:15" x14ac:dyDescent="0.2">
      <c r="A26" s="12" t="s">
        <v>0</v>
      </c>
      <c r="B26" t="s">
        <v>43</v>
      </c>
      <c r="G26" s="11" t="s">
        <v>57</v>
      </c>
    </row>
    <row r="27" spans="1:15" ht="25" x14ac:dyDescent="0.25">
      <c r="G27" s="12" t="s">
        <v>38</v>
      </c>
      <c r="H27" t="s">
        <v>37</v>
      </c>
      <c r="K27" s="18"/>
    </row>
    <row r="28" spans="1:15" x14ac:dyDescent="0.2">
      <c r="A28" s="12" t="s">
        <v>38</v>
      </c>
      <c r="B28" t="s">
        <v>51</v>
      </c>
      <c r="G28" s="13" t="s">
        <v>15</v>
      </c>
      <c r="H28" s="14">
        <v>568.61</v>
      </c>
    </row>
    <row r="29" spans="1:15" ht="20" x14ac:dyDescent="0.2">
      <c r="A29" s="13" t="s">
        <v>25</v>
      </c>
      <c r="B29" s="14">
        <v>13998.5</v>
      </c>
      <c r="G29" s="13" t="s">
        <v>10</v>
      </c>
      <c r="H29" s="14">
        <v>817.65</v>
      </c>
      <c r="K29" s="16"/>
      <c r="N29" s="17"/>
      <c r="O29" s="14"/>
    </row>
    <row r="30" spans="1:15" ht="20" x14ac:dyDescent="0.2">
      <c r="A30" s="13" t="s">
        <v>13</v>
      </c>
      <c r="B30" s="14">
        <v>-869.11999999999989</v>
      </c>
      <c r="G30" s="13" t="s">
        <v>13</v>
      </c>
      <c r="H30" s="14">
        <v>869.11999999999989</v>
      </c>
      <c r="K30" s="16"/>
      <c r="N30" s="17"/>
      <c r="O30" s="14"/>
    </row>
    <row r="31" spans="1:15" ht="20" x14ac:dyDescent="0.2">
      <c r="A31" s="13" t="s">
        <v>23</v>
      </c>
      <c r="B31" s="14">
        <v>-1421.66</v>
      </c>
      <c r="G31" s="13" t="s">
        <v>35</v>
      </c>
      <c r="H31" s="14">
        <v>1701.6000000000006</v>
      </c>
      <c r="K31" s="16"/>
      <c r="N31" s="17"/>
      <c r="O31" s="14"/>
    </row>
    <row r="32" spans="1:15" ht="20" x14ac:dyDescent="0.2">
      <c r="A32" s="13" t="s">
        <v>26</v>
      </c>
      <c r="B32" s="14">
        <v>-307</v>
      </c>
      <c r="G32" s="13" t="s">
        <v>27</v>
      </c>
      <c r="H32" s="14">
        <v>3000</v>
      </c>
      <c r="K32" s="16"/>
      <c r="N32" s="17"/>
      <c r="O32" s="14"/>
    </row>
    <row r="33" spans="1:15" ht="20" x14ac:dyDescent="0.2">
      <c r="A33" s="13" t="s">
        <v>28</v>
      </c>
      <c r="B33" s="14">
        <v>-6311.6399999999958</v>
      </c>
      <c r="K33" s="16"/>
      <c r="N33" s="17"/>
      <c r="O33" s="14"/>
    </row>
    <row r="34" spans="1:15" x14ac:dyDescent="0.2">
      <c r="A34" s="13" t="s">
        <v>24</v>
      </c>
      <c r="B34" s="14">
        <v>-314.39999999999998</v>
      </c>
    </row>
    <row r="35" spans="1:15" x14ac:dyDescent="0.2">
      <c r="A35" s="13" t="s">
        <v>31</v>
      </c>
      <c r="B35" s="14">
        <v>-1134.45</v>
      </c>
    </row>
    <row r="36" spans="1:15" x14ac:dyDescent="0.2">
      <c r="A36" s="13" t="s">
        <v>45</v>
      </c>
      <c r="B36" s="14">
        <v>3640.2300000000059</v>
      </c>
    </row>
    <row r="38" spans="1:15" x14ac:dyDescent="0.2">
      <c r="A38" s="11" t="s">
        <v>58</v>
      </c>
    </row>
    <row r="39" spans="1:15" x14ac:dyDescent="0.2">
      <c r="A39" s="12" t="s">
        <v>38</v>
      </c>
      <c r="B39" t="str" cm="1">
        <f t="array" ref="B39">_xlfn.IFS(NOT(ISBLANK(A46)),"All Expenses", TRUE,_xlfn.TEXTJOIN(", ", TRUE,A40:A46))</f>
        <v>All Expenses</v>
      </c>
    </row>
    <row r="40" spans="1:15" x14ac:dyDescent="0.2">
      <c r="A40" s="13" t="s">
        <v>13</v>
      </c>
    </row>
    <row r="41" spans="1:15" x14ac:dyDescent="0.2">
      <c r="A41" s="13" t="s">
        <v>23</v>
      </c>
    </row>
    <row r="42" spans="1:15" x14ac:dyDescent="0.2">
      <c r="A42" s="13" t="s">
        <v>26</v>
      </c>
    </row>
    <row r="43" spans="1:15" x14ac:dyDescent="0.2">
      <c r="A43" s="13" t="s">
        <v>28</v>
      </c>
    </row>
    <row r="44" spans="1:15" x14ac:dyDescent="0.2">
      <c r="A44" s="13" t="s">
        <v>24</v>
      </c>
    </row>
    <row r="45" spans="1:15" x14ac:dyDescent="0.2">
      <c r="A45" s="13" t="s">
        <v>25</v>
      </c>
    </row>
    <row r="46" spans="1:15" x14ac:dyDescent="0.2">
      <c r="A46" s="13" t="s">
        <v>31</v>
      </c>
    </row>
  </sheetData>
  <conditionalFormatting sqref="O29:O33">
    <cfRule type="dataBar" priority="1">
      <dataBar showValue="0">
        <cfvo type="min"/>
        <cfvo type="max"/>
        <color theme="1"/>
      </dataBar>
      <extLst>
        <ext xmlns:x14="http://schemas.microsoft.com/office/spreadsheetml/2009/9/main" uri="{B025F937-C7B1-47D3-B67F-A62EFF666E3E}">
          <x14:id>{09A420F6-09BD-9446-810B-F5C0C8FFCAEA}</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09A420F6-09BD-9446-810B-F5C0C8FFCAEA}">
            <x14:dataBar minLength="0" maxLength="100" gradient="0">
              <x14:cfvo type="autoMin"/>
              <x14:cfvo type="autoMax"/>
              <x14:negativeFillColor rgb="FFFF0000"/>
              <x14:axisColor rgb="FF000000"/>
            </x14:dataBar>
          </x14:cfRule>
          <xm:sqref>O29:O33</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CF43-6CD5-F346-BBAC-1AAF8F2E5D46}">
  <dimension ref="A1:Y62"/>
  <sheetViews>
    <sheetView showGridLines="0" tabSelected="1" zoomScale="75" zoomScaleNormal="100" workbookViewId="0">
      <selection activeCell="AC30" sqref="AC30"/>
    </sheetView>
  </sheetViews>
  <sheetFormatPr baseColWidth="10" defaultRowHeight="16" x14ac:dyDescent="0.2"/>
  <cols>
    <col min="9" max="9" width="2.5703125" customWidth="1"/>
    <col min="15" max="15" width="2.42578125" customWidth="1"/>
    <col min="23" max="23" width="10.7109375" customWidth="1"/>
    <col min="25" max="25" width="5" customWidth="1"/>
  </cols>
  <sheetData>
    <row r="1" spans="1:25" ht="65" customHeight="1" x14ac:dyDescent="0.2">
      <c r="A1" s="19"/>
      <c r="B1" s="19"/>
      <c r="C1" s="19"/>
      <c r="D1" s="19"/>
      <c r="E1" s="19"/>
      <c r="F1" s="19"/>
      <c r="G1" s="19"/>
      <c r="H1" s="19"/>
      <c r="I1" s="19"/>
      <c r="J1" s="19"/>
      <c r="K1" s="19"/>
      <c r="L1" s="19"/>
      <c r="M1" s="19"/>
      <c r="N1" s="19"/>
      <c r="O1" s="19"/>
      <c r="P1" s="19"/>
      <c r="Q1" s="19"/>
      <c r="R1" s="19"/>
      <c r="S1" s="19"/>
      <c r="T1" s="19"/>
      <c r="U1" s="19"/>
      <c r="V1" s="19"/>
      <c r="W1" s="19"/>
      <c r="X1" s="19"/>
      <c r="Y1" s="19"/>
    </row>
    <row r="2" spans="1:25" x14ac:dyDescent="0.2">
      <c r="A2" s="19"/>
      <c r="B2" s="19"/>
      <c r="C2" s="19"/>
      <c r="D2" s="19"/>
      <c r="E2" s="19"/>
      <c r="F2" s="19"/>
      <c r="G2" s="19"/>
      <c r="H2" s="19"/>
      <c r="I2" s="19"/>
      <c r="J2" s="19"/>
      <c r="K2" s="19"/>
      <c r="L2" s="19"/>
      <c r="M2" s="19"/>
      <c r="N2" s="19"/>
      <c r="O2" s="19"/>
      <c r="P2" s="19"/>
      <c r="Q2" s="19"/>
      <c r="R2" s="19"/>
      <c r="S2" s="19"/>
      <c r="T2" s="19"/>
      <c r="U2" s="19"/>
      <c r="V2" s="19"/>
      <c r="W2" s="19"/>
      <c r="X2" s="19"/>
      <c r="Y2" s="19"/>
    </row>
    <row r="3" spans="1:25" x14ac:dyDescent="0.2">
      <c r="A3" s="19"/>
      <c r="B3" s="19"/>
      <c r="C3" s="19"/>
      <c r="D3" s="19"/>
      <c r="E3" s="19"/>
      <c r="F3" s="19"/>
      <c r="G3" s="19"/>
      <c r="H3" s="19"/>
      <c r="I3" s="19"/>
      <c r="J3" s="19"/>
      <c r="K3" s="19"/>
      <c r="L3" s="19"/>
      <c r="M3" s="19"/>
      <c r="N3" s="19"/>
      <c r="O3" s="19"/>
      <c r="P3" s="19"/>
      <c r="Q3" s="19"/>
      <c r="R3" s="19"/>
      <c r="S3" s="19"/>
      <c r="T3" s="19"/>
      <c r="U3" s="19"/>
      <c r="V3" s="19"/>
      <c r="W3" s="19"/>
      <c r="X3" s="19"/>
      <c r="Y3" s="19"/>
    </row>
    <row r="4" spans="1:25" x14ac:dyDescent="0.2">
      <c r="A4" s="19"/>
      <c r="B4" s="19"/>
      <c r="C4" s="19"/>
      <c r="D4" s="19"/>
      <c r="E4" s="19"/>
      <c r="F4" s="19"/>
      <c r="G4" s="19"/>
      <c r="H4" s="19"/>
      <c r="I4" s="19"/>
      <c r="J4" s="19"/>
      <c r="K4" s="19"/>
      <c r="L4" s="19"/>
      <c r="M4" s="19"/>
      <c r="N4" s="19"/>
      <c r="O4" s="19"/>
      <c r="P4" s="19"/>
      <c r="Q4" s="19"/>
      <c r="R4" s="19"/>
      <c r="S4" s="19"/>
      <c r="T4" s="19"/>
      <c r="U4" s="19"/>
      <c r="V4" s="19"/>
      <c r="W4" s="19"/>
      <c r="X4" s="19"/>
      <c r="Y4" s="19"/>
    </row>
    <row r="5" spans="1:25" x14ac:dyDescent="0.2">
      <c r="A5" s="19"/>
      <c r="B5" s="19"/>
      <c r="C5" s="19"/>
      <c r="D5" s="19"/>
      <c r="E5" s="19"/>
      <c r="F5" s="19"/>
      <c r="G5" s="19"/>
      <c r="H5" s="19"/>
      <c r="I5" s="19"/>
      <c r="J5" s="19"/>
      <c r="K5" s="19"/>
      <c r="L5" s="19"/>
      <c r="M5" s="19"/>
      <c r="N5" s="19"/>
      <c r="O5" s="19"/>
      <c r="P5" s="19"/>
      <c r="Q5" s="19"/>
      <c r="R5" s="19"/>
      <c r="S5" s="19"/>
      <c r="T5" s="19"/>
      <c r="U5" s="19"/>
      <c r="V5" s="19"/>
      <c r="W5" s="19"/>
      <c r="X5" s="19"/>
      <c r="Y5" s="19"/>
    </row>
    <row r="6" spans="1:25" x14ac:dyDescent="0.2">
      <c r="A6" s="19"/>
      <c r="B6" s="20"/>
      <c r="C6" s="19"/>
      <c r="D6" s="19"/>
      <c r="E6" s="19"/>
      <c r="F6" s="19"/>
      <c r="G6" s="19"/>
      <c r="H6" s="19"/>
      <c r="I6" s="19"/>
      <c r="J6" s="19"/>
      <c r="K6" s="19"/>
      <c r="L6" s="19"/>
      <c r="M6" s="19"/>
      <c r="N6" s="19"/>
      <c r="O6" s="19"/>
      <c r="P6" s="19"/>
      <c r="Q6" s="19"/>
      <c r="R6" s="19"/>
      <c r="S6" s="19"/>
      <c r="T6" s="19"/>
      <c r="U6" s="19"/>
      <c r="V6" s="19"/>
      <c r="W6" s="19"/>
      <c r="X6" s="19"/>
      <c r="Y6" s="19"/>
    </row>
    <row r="7" spans="1:25" x14ac:dyDescent="0.2">
      <c r="A7" s="19"/>
      <c r="B7" s="20"/>
      <c r="C7" s="19"/>
      <c r="D7" s="19"/>
      <c r="E7" s="19"/>
      <c r="F7" s="19"/>
      <c r="G7" s="19"/>
      <c r="H7" s="19"/>
      <c r="I7" s="19"/>
      <c r="J7" s="19"/>
      <c r="K7" s="19"/>
      <c r="L7" s="19"/>
      <c r="M7" s="19"/>
      <c r="N7" s="19"/>
      <c r="O7" s="19"/>
      <c r="P7" s="19"/>
      <c r="Q7" s="19"/>
      <c r="R7" s="19"/>
      <c r="S7" s="19"/>
      <c r="T7" s="19"/>
      <c r="U7" s="19"/>
      <c r="V7" s="19"/>
      <c r="W7" s="19"/>
      <c r="X7" s="19"/>
      <c r="Y7" s="19"/>
    </row>
    <row r="8" spans="1:25" x14ac:dyDescent="0.2">
      <c r="A8" s="19"/>
      <c r="B8" s="20"/>
      <c r="C8" s="19"/>
      <c r="D8" s="19"/>
      <c r="E8" s="19"/>
      <c r="F8" s="19"/>
      <c r="G8" s="19"/>
      <c r="H8" s="19"/>
      <c r="I8" s="19"/>
      <c r="J8" s="19"/>
      <c r="K8" s="19"/>
      <c r="L8" s="19"/>
      <c r="M8" s="19"/>
      <c r="N8" s="19"/>
      <c r="O8" s="19"/>
      <c r="P8" s="19"/>
      <c r="Q8" s="19"/>
      <c r="R8" s="19"/>
      <c r="S8" s="19"/>
      <c r="T8" s="19"/>
      <c r="U8" s="19"/>
      <c r="V8" s="19"/>
      <c r="W8" s="19"/>
      <c r="X8" s="19"/>
      <c r="Y8" s="19"/>
    </row>
    <row r="9" spans="1:25" x14ac:dyDescent="0.2">
      <c r="A9" s="19"/>
      <c r="B9" s="20"/>
      <c r="C9" s="19"/>
      <c r="D9" s="19"/>
      <c r="E9" s="19"/>
      <c r="F9" s="19"/>
      <c r="G9" s="19"/>
      <c r="H9" s="19"/>
      <c r="I9" s="19"/>
      <c r="J9" s="19"/>
      <c r="K9" s="19"/>
      <c r="L9" s="19"/>
      <c r="M9" s="19"/>
      <c r="N9" s="19"/>
      <c r="O9" s="19"/>
      <c r="P9" s="19"/>
      <c r="Q9" s="19"/>
      <c r="R9" s="19"/>
      <c r="S9" s="19"/>
      <c r="T9" s="19"/>
      <c r="U9" s="19"/>
      <c r="V9" s="19"/>
      <c r="W9" s="19"/>
      <c r="X9" s="19"/>
      <c r="Y9" s="19"/>
    </row>
    <row r="10" spans="1:25" x14ac:dyDescent="0.2">
      <c r="A10" s="19"/>
      <c r="B10" s="20"/>
      <c r="C10" s="19"/>
      <c r="D10" s="19"/>
      <c r="E10" s="19"/>
      <c r="F10" s="19"/>
      <c r="G10" s="19"/>
      <c r="H10" s="19"/>
      <c r="I10" s="19"/>
      <c r="J10" s="19"/>
      <c r="K10" s="19"/>
      <c r="L10" s="19"/>
      <c r="M10" s="19"/>
      <c r="N10" s="19"/>
      <c r="O10" s="19"/>
      <c r="P10" s="19"/>
      <c r="Q10" s="19"/>
      <c r="R10" s="19"/>
      <c r="S10" s="19"/>
      <c r="T10" s="19"/>
      <c r="U10" s="19"/>
      <c r="V10" s="19"/>
      <c r="W10" s="19"/>
      <c r="X10" s="19"/>
      <c r="Y10" s="19"/>
    </row>
    <row r="11" spans="1:25" x14ac:dyDescent="0.2">
      <c r="A11" s="19"/>
      <c r="B11" s="20"/>
      <c r="C11" s="19"/>
      <c r="D11" s="19"/>
      <c r="E11" s="19"/>
      <c r="F11" s="19"/>
      <c r="G11" s="19"/>
      <c r="H11" s="19"/>
      <c r="I11" s="19"/>
      <c r="J11" s="19"/>
      <c r="K11" s="19"/>
      <c r="L11" s="19"/>
      <c r="M11" s="19"/>
      <c r="N11" s="19"/>
      <c r="O11" s="19"/>
      <c r="P11" s="19"/>
      <c r="Q11" s="19"/>
      <c r="R11" s="19"/>
      <c r="S11" s="19"/>
      <c r="T11" s="19"/>
      <c r="U11" s="19"/>
      <c r="V11" s="19"/>
      <c r="W11" s="19"/>
      <c r="X11" s="19"/>
      <c r="Y11" s="19"/>
    </row>
    <row r="12" spans="1:25" x14ac:dyDescent="0.2">
      <c r="A12" s="19"/>
      <c r="B12" s="19"/>
      <c r="C12" s="19"/>
      <c r="D12" s="19"/>
      <c r="E12" s="19"/>
      <c r="F12" s="19"/>
      <c r="G12" s="19"/>
      <c r="H12" s="19"/>
      <c r="I12" s="19"/>
      <c r="J12" s="19"/>
      <c r="K12" s="19"/>
      <c r="L12" s="19"/>
      <c r="M12" s="19"/>
      <c r="N12" s="19"/>
      <c r="O12" s="19"/>
      <c r="P12" s="19"/>
      <c r="Q12" s="19"/>
      <c r="R12" s="19"/>
      <c r="S12" s="19"/>
      <c r="T12" s="19"/>
      <c r="U12" s="19"/>
      <c r="V12" s="19"/>
      <c r="W12" s="19"/>
      <c r="X12" s="19"/>
      <c r="Y12" s="19"/>
    </row>
    <row r="13" spans="1:25" x14ac:dyDescent="0.2">
      <c r="A13" s="19"/>
      <c r="B13" s="19"/>
      <c r="C13" s="19"/>
      <c r="D13" s="19"/>
      <c r="E13" s="19"/>
      <c r="F13" s="19"/>
      <c r="G13" s="19"/>
      <c r="H13" s="19"/>
      <c r="I13" s="19"/>
      <c r="J13" s="19"/>
      <c r="K13" s="19"/>
      <c r="L13" s="19"/>
      <c r="M13" s="19"/>
      <c r="N13" s="19"/>
      <c r="O13" s="19"/>
      <c r="P13" s="19"/>
      <c r="Q13" s="19"/>
      <c r="R13" s="19"/>
      <c r="S13" s="19"/>
      <c r="T13" s="19"/>
      <c r="U13" s="19"/>
      <c r="V13" s="19"/>
      <c r="W13" s="19"/>
      <c r="X13" s="19"/>
      <c r="Y13" s="19"/>
    </row>
    <row r="14" spans="1:25" x14ac:dyDescent="0.2">
      <c r="A14" s="19"/>
      <c r="B14" s="19"/>
      <c r="C14" s="19"/>
      <c r="D14" s="19"/>
      <c r="E14" s="19"/>
      <c r="F14" s="19"/>
      <c r="G14" s="19"/>
      <c r="H14" s="19"/>
      <c r="I14" s="19"/>
      <c r="J14" s="19"/>
      <c r="K14" s="19"/>
      <c r="L14" s="19"/>
      <c r="M14" s="19"/>
      <c r="N14" s="19"/>
      <c r="O14" s="19"/>
      <c r="P14" s="19"/>
      <c r="Q14" s="19"/>
      <c r="R14" s="19"/>
      <c r="S14" s="19"/>
      <c r="T14" s="19"/>
      <c r="U14" s="19"/>
      <c r="V14" s="19"/>
      <c r="W14" s="19"/>
      <c r="X14" s="19"/>
      <c r="Y14" s="19"/>
    </row>
    <row r="15" spans="1:25" x14ac:dyDescent="0.2">
      <c r="A15" s="19"/>
      <c r="B15" s="19"/>
      <c r="C15" s="19"/>
      <c r="D15" s="19"/>
      <c r="E15" s="19"/>
      <c r="F15" s="19"/>
      <c r="G15" s="19"/>
      <c r="H15" s="19"/>
      <c r="I15" s="19"/>
      <c r="J15" s="19"/>
      <c r="K15" s="19"/>
      <c r="L15" s="19"/>
      <c r="M15" s="19"/>
      <c r="N15" s="19"/>
      <c r="O15" s="19"/>
      <c r="P15" s="19"/>
      <c r="Q15" s="19"/>
      <c r="R15" s="19"/>
      <c r="S15" s="19"/>
      <c r="T15" s="19"/>
      <c r="U15" s="19"/>
      <c r="V15" s="19"/>
      <c r="W15" s="19"/>
      <c r="X15" s="19"/>
      <c r="Y15" s="19"/>
    </row>
    <row r="16" spans="1:25" x14ac:dyDescent="0.2">
      <c r="A16" s="19"/>
      <c r="B16" s="19"/>
      <c r="C16" s="19"/>
      <c r="D16" s="19"/>
      <c r="E16" s="19"/>
      <c r="F16" s="19"/>
      <c r="G16" s="19"/>
      <c r="H16" s="19"/>
      <c r="I16" s="19"/>
      <c r="J16" s="19"/>
      <c r="K16" s="19"/>
      <c r="L16" s="19"/>
      <c r="M16" s="19"/>
      <c r="N16" s="19"/>
      <c r="O16" s="19"/>
      <c r="P16" s="19"/>
      <c r="Q16" s="19"/>
      <c r="R16" s="19"/>
      <c r="S16" s="19"/>
      <c r="T16" s="19"/>
      <c r="U16" s="19"/>
      <c r="V16" s="19"/>
      <c r="W16" s="19"/>
      <c r="X16" s="19"/>
      <c r="Y16" s="19"/>
    </row>
    <row r="17" spans="1:25" x14ac:dyDescent="0.2">
      <c r="A17" s="19"/>
      <c r="B17" s="19"/>
      <c r="C17" s="19"/>
      <c r="D17" s="19"/>
      <c r="E17" s="19"/>
      <c r="F17" s="19"/>
      <c r="G17" s="19"/>
      <c r="H17" s="19"/>
      <c r="I17" s="19"/>
      <c r="J17" s="19"/>
      <c r="K17" s="19"/>
      <c r="L17" s="19"/>
      <c r="M17" s="19"/>
      <c r="N17" s="19"/>
      <c r="O17" s="19"/>
      <c r="P17" s="19"/>
      <c r="Q17" s="19"/>
      <c r="R17" s="19"/>
      <c r="S17" s="19"/>
      <c r="T17" s="19"/>
      <c r="U17" s="19"/>
      <c r="V17" s="19"/>
      <c r="W17" s="19"/>
      <c r="X17" s="19"/>
      <c r="Y17" s="19"/>
    </row>
    <row r="18" spans="1:25" x14ac:dyDescent="0.2">
      <c r="A18" s="19"/>
      <c r="B18" s="19"/>
      <c r="C18" s="19"/>
      <c r="D18" s="19"/>
      <c r="E18" s="19"/>
      <c r="F18" s="19"/>
      <c r="G18" s="19"/>
      <c r="H18" s="19"/>
      <c r="I18" s="19"/>
      <c r="J18" s="19"/>
      <c r="K18" s="19"/>
      <c r="L18" s="19"/>
      <c r="M18" s="19"/>
      <c r="N18" s="19"/>
      <c r="O18" s="19"/>
      <c r="P18" s="19"/>
      <c r="Q18" s="19"/>
      <c r="R18" s="19"/>
      <c r="S18" s="19"/>
      <c r="T18" s="19"/>
      <c r="U18" s="19"/>
      <c r="V18" s="19"/>
      <c r="W18" s="19"/>
      <c r="X18" s="19"/>
      <c r="Y18" s="19"/>
    </row>
    <row r="19" spans="1:25" x14ac:dyDescent="0.2">
      <c r="A19" s="19"/>
      <c r="B19" s="19"/>
      <c r="C19" s="19"/>
      <c r="D19" s="19"/>
      <c r="E19" s="19"/>
      <c r="F19" s="19"/>
      <c r="G19" s="19"/>
      <c r="H19" s="19"/>
      <c r="I19" s="19"/>
      <c r="J19" s="19"/>
      <c r="K19" s="19"/>
      <c r="L19" s="19"/>
      <c r="M19" s="19"/>
      <c r="N19" s="19"/>
      <c r="O19" s="19"/>
      <c r="P19" s="19"/>
      <c r="Q19" s="19"/>
      <c r="R19" s="19"/>
      <c r="S19" s="19"/>
      <c r="T19" s="19"/>
      <c r="U19" s="19"/>
      <c r="V19" s="19"/>
      <c r="W19" s="19"/>
      <c r="X19" s="19"/>
      <c r="Y19" s="19"/>
    </row>
    <row r="20" spans="1:25" x14ac:dyDescent="0.2">
      <c r="A20" s="19"/>
      <c r="B20" s="19"/>
      <c r="C20" s="19"/>
      <c r="D20" s="19"/>
      <c r="E20" s="19"/>
      <c r="F20" s="19"/>
      <c r="G20" s="19"/>
      <c r="H20" s="19"/>
      <c r="I20" s="19"/>
      <c r="J20" s="19"/>
      <c r="K20" s="19"/>
      <c r="L20" s="19"/>
      <c r="M20" s="19"/>
      <c r="N20" s="19"/>
      <c r="O20" s="19"/>
      <c r="P20" s="19"/>
      <c r="Q20" s="19"/>
      <c r="R20" s="19"/>
      <c r="S20" s="19"/>
      <c r="T20" s="19"/>
      <c r="U20" s="19"/>
      <c r="V20" s="19"/>
      <c r="W20" s="19"/>
      <c r="X20" s="19"/>
      <c r="Y20" s="19"/>
    </row>
    <row r="21" spans="1:25" x14ac:dyDescent="0.2">
      <c r="A21" s="19"/>
      <c r="B21" s="19"/>
      <c r="C21" s="19"/>
      <c r="D21" s="19"/>
      <c r="E21" s="19"/>
      <c r="F21" s="19"/>
      <c r="G21" s="19"/>
      <c r="H21" s="19"/>
      <c r="I21" s="19"/>
      <c r="J21" s="19"/>
      <c r="K21" s="19"/>
      <c r="L21" s="19"/>
      <c r="M21" s="19"/>
      <c r="N21" s="19"/>
      <c r="O21" s="19"/>
      <c r="P21" s="19"/>
      <c r="Q21" s="19"/>
      <c r="R21" s="19"/>
      <c r="S21" s="19"/>
      <c r="T21" s="19"/>
      <c r="U21" s="19"/>
      <c r="V21" s="19"/>
      <c r="W21" s="19"/>
      <c r="X21" s="19"/>
      <c r="Y21" s="19"/>
    </row>
    <row r="22" spans="1:25" x14ac:dyDescent="0.2">
      <c r="A22" s="19"/>
      <c r="B22" s="19"/>
      <c r="C22" s="19"/>
      <c r="D22" s="19"/>
      <c r="E22" s="19"/>
      <c r="F22" s="19"/>
      <c r="G22" s="19"/>
      <c r="H22" s="19"/>
      <c r="I22" s="19"/>
      <c r="J22" s="19"/>
      <c r="K22" s="19"/>
      <c r="L22" s="19"/>
      <c r="M22" s="19"/>
      <c r="N22" s="19"/>
      <c r="O22" s="19"/>
      <c r="P22" s="19"/>
      <c r="Q22" s="19"/>
      <c r="R22" s="19"/>
      <c r="S22" s="19"/>
      <c r="T22" s="19"/>
      <c r="U22" s="19"/>
      <c r="V22" s="19"/>
      <c r="W22" s="19"/>
      <c r="X22" s="19"/>
      <c r="Y22" s="19"/>
    </row>
    <row r="23" spans="1:25" x14ac:dyDescent="0.2">
      <c r="A23" s="19"/>
      <c r="B23" s="19"/>
      <c r="C23" s="19"/>
      <c r="D23" s="19"/>
      <c r="E23" s="19"/>
      <c r="F23" s="19"/>
      <c r="G23" s="19"/>
      <c r="H23" s="19"/>
      <c r="I23" s="19"/>
      <c r="J23" s="19"/>
      <c r="K23" s="19"/>
      <c r="L23" s="19"/>
      <c r="M23" s="19"/>
      <c r="N23" s="19"/>
      <c r="O23" s="19"/>
      <c r="P23" s="19"/>
      <c r="Q23" s="19"/>
      <c r="R23" s="19"/>
      <c r="S23" s="19"/>
      <c r="T23" s="19"/>
      <c r="U23" s="19"/>
      <c r="V23" s="19"/>
      <c r="W23" s="19"/>
      <c r="X23" s="19"/>
      <c r="Y23" s="19"/>
    </row>
    <row r="24" spans="1:25" x14ac:dyDescent="0.2">
      <c r="A24" s="19"/>
      <c r="B24" s="19"/>
      <c r="C24" s="19"/>
      <c r="D24" s="19"/>
      <c r="E24" s="19"/>
      <c r="F24" s="19"/>
      <c r="G24" s="19"/>
      <c r="H24" s="19"/>
      <c r="I24" s="19"/>
      <c r="J24" s="19"/>
      <c r="K24" s="19"/>
      <c r="L24" s="19"/>
      <c r="M24" s="19"/>
      <c r="N24" s="19"/>
      <c r="O24" s="19"/>
      <c r="P24" s="19"/>
      <c r="Q24" s="19"/>
      <c r="R24" s="19"/>
      <c r="S24" s="19"/>
      <c r="T24" s="19"/>
      <c r="U24" s="19"/>
      <c r="V24" s="19"/>
      <c r="W24" s="19"/>
      <c r="X24" s="19"/>
      <c r="Y24" s="19"/>
    </row>
    <row r="25" spans="1:25" x14ac:dyDescent="0.2">
      <c r="A25" s="19"/>
      <c r="B25" s="19"/>
      <c r="C25" s="19"/>
      <c r="D25" s="19"/>
      <c r="E25" s="19"/>
      <c r="F25" s="19"/>
      <c r="G25" s="19"/>
      <c r="H25" s="19"/>
      <c r="I25" s="19"/>
      <c r="J25" s="19"/>
      <c r="K25" s="19"/>
      <c r="L25" s="19"/>
      <c r="M25" s="19"/>
      <c r="N25" s="19"/>
      <c r="O25" s="19"/>
      <c r="P25" s="19"/>
      <c r="Q25" s="19"/>
      <c r="R25" s="19"/>
      <c r="S25" s="19"/>
      <c r="T25" s="19"/>
      <c r="U25" s="19"/>
      <c r="V25" s="19"/>
      <c r="W25" s="19"/>
      <c r="X25" s="19"/>
      <c r="Y25" s="19"/>
    </row>
    <row r="26" spans="1:25" x14ac:dyDescent="0.2">
      <c r="A26" s="19"/>
      <c r="B26" s="19"/>
      <c r="C26" s="19"/>
      <c r="D26" s="19"/>
      <c r="E26" s="19"/>
      <c r="F26" s="19"/>
      <c r="G26" s="19"/>
      <c r="H26" s="19"/>
      <c r="I26" s="19"/>
      <c r="J26" s="19"/>
      <c r="K26" s="19"/>
      <c r="L26" s="19"/>
      <c r="M26" s="19"/>
      <c r="N26" s="19"/>
      <c r="O26" s="19"/>
      <c r="P26" s="19"/>
      <c r="Q26" s="19"/>
      <c r="R26" s="19"/>
      <c r="S26" s="19"/>
      <c r="T26" s="19"/>
      <c r="U26" s="19"/>
      <c r="V26" s="19"/>
      <c r="W26" s="19"/>
      <c r="X26" s="19"/>
      <c r="Y26" s="19"/>
    </row>
    <row r="27" spans="1:25" x14ac:dyDescent="0.2">
      <c r="A27" s="19"/>
      <c r="B27" s="19"/>
      <c r="C27" s="19"/>
      <c r="D27" s="19"/>
      <c r="E27" s="19"/>
      <c r="F27" s="19"/>
      <c r="G27" s="19"/>
      <c r="H27" s="19"/>
      <c r="I27" s="19"/>
      <c r="J27" s="19"/>
      <c r="K27" s="19"/>
      <c r="L27" s="19"/>
      <c r="M27" s="19"/>
      <c r="N27" s="19"/>
      <c r="O27" s="19"/>
      <c r="P27" s="19"/>
      <c r="Q27" s="19"/>
      <c r="R27" s="19"/>
      <c r="S27" s="19"/>
      <c r="T27" s="19"/>
      <c r="U27" s="19"/>
      <c r="V27" s="19"/>
      <c r="W27" s="19"/>
      <c r="X27" s="19"/>
      <c r="Y27" s="19"/>
    </row>
    <row r="28" spans="1:25" x14ac:dyDescent="0.2">
      <c r="A28" s="19"/>
      <c r="B28" s="19"/>
      <c r="C28" s="19"/>
      <c r="D28" s="19"/>
      <c r="E28" s="19"/>
      <c r="F28" s="19"/>
      <c r="G28" s="19"/>
      <c r="H28" s="19"/>
      <c r="I28" s="19"/>
      <c r="J28" s="19"/>
      <c r="K28" s="19"/>
      <c r="L28" s="19"/>
      <c r="M28" s="19"/>
      <c r="N28" s="19"/>
      <c r="O28" s="19"/>
      <c r="P28" s="19"/>
      <c r="Q28" s="19"/>
      <c r="R28" s="19"/>
      <c r="S28" s="19"/>
      <c r="T28" s="19"/>
      <c r="U28" s="19"/>
      <c r="V28" s="19"/>
      <c r="W28" s="19"/>
      <c r="X28" s="19"/>
      <c r="Y28" s="19"/>
    </row>
    <row r="29" spans="1:25" x14ac:dyDescent="0.2">
      <c r="A29" s="19"/>
      <c r="B29" s="19"/>
      <c r="C29" s="19"/>
      <c r="D29" s="19"/>
      <c r="E29" s="19"/>
      <c r="F29" s="19"/>
      <c r="G29" s="19"/>
      <c r="H29" s="19"/>
      <c r="I29" s="19"/>
      <c r="J29" s="19"/>
      <c r="K29" s="19"/>
      <c r="L29" s="19"/>
      <c r="M29" s="19"/>
      <c r="N29" s="19"/>
      <c r="O29" s="19"/>
      <c r="P29" s="19"/>
      <c r="Q29" s="19"/>
      <c r="R29" s="19"/>
      <c r="S29" s="19"/>
      <c r="T29" s="19"/>
      <c r="U29" s="19"/>
      <c r="V29" s="19"/>
      <c r="W29" s="19"/>
      <c r="X29" s="19"/>
      <c r="Y29" s="19"/>
    </row>
    <row r="30" spans="1:25" x14ac:dyDescent="0.2">
      <c r="A30" s="19"/>
      <c r="B30" s="19"/>
      <c r="C30" s="19"/>
      <c r="D30" s="19"/>
      <c r="E30" s="19"/>
      <c r="F30" s="19"/>
      <c r="G30" s="19"/>
      <c r="H30" s="19"/>
      <c r="I30" s="19"/>
      <c r="J30" s="19"/>
      <c r="K30" s="19"/>
      <c r="L30" s="19"/>
      <c r="M30" s="19"/>
      <c r="N30" s="19"/>
      <c r="O30" s="19"/>
      <c r="P30" s="19"/>
      <c r="Q30" s="19"/>
      <c r="R30" s="19"/>
      <c r="S30" s="19"/>
      <c r="T30" s="19"/>
      <c r="U30" s="19"/>
      <c r="V30" s="19"/>
      <c r="W30" s="19"/>
      <c r="X30" s="19"/>
      <c r="Y30" s="19"/>
    </row>
    <row r="31" spans="1:25" x14ac:dyDescent="0.2">
      <c r="A31" s="19"/>
      <c r="B31" s="19"/>
      <c r="C31" s="19"/>
      <c r="D31" s="19"/>
      <c r="E31" s="19"/>
      <c r="F31" s="19"/>
      <c r="G31" s="19"/>
      <c r="H31" s="19"/>
      <c r="I31" s="19"/>
      <c r="J31" s="19"/>
      <c r="K31" s="19"/>
      <c r="L31" s="19"/>
      <c r="M31" s="19"/>
      <c r="N31" s="19"/>
      <c r="O31" s="19"/>
      <c r="P31" s="19"/>
      <c r="Q31" s="19"/>
      <c r="R31" s="19"/>
      <c r="S31" s="19"/>
      <c r="T31" s="19"/>
      <c r="U31" s="19"/>
      <c r="V31" s="19"/>
      <c r="W31" s="19"/>
      <c r="X31" s="19"/>
      <c r="Y31" s="19"/>
    </row>
    <row r="32" spans="1:25" x14ac:dyDescent="0.2">
      <c r="A32" s="19"/>
      <c r="B32" s="19"/>
      <c r="C32" s="19"/>
      <c r="D32" s="19"/>
      <c r="E32" s="19"/>
      <c r="F32" s="19"/>
      <c r="G32" s="19"/>
      <c r="H32" s="19"/>
      <c r="I32" s="19"/>
      <c r="J32" s="19"/>
      <c r="K32" s="19"/>
      <c r="L32" s="19"/>
      <c r="M32" s="19"/>
      <c r="N32" s="19"/>
      <c r="O32" s="19"/>
      <c r="P32" s="19"/>
      <c r="Q32" s="19"/>
      <c r="R32" s="19"/>
      <c r="S32" s="19"/>
      <c r="T32" s="19"/>
      <c r="U32" s="19"/>
      <c r="V32" s="19"/>
      <c r="W32" s="19"/>
      <c r="X32" s="19"/>
      <c r="Y32" s="19"/>
    </row>
    <row r="33" spans="1:25" x14ac:dyDescent="0.2">
      <c r="A33" s="19"/>
      <c r="B33" s="19"/>
      <c r="C33" s="19"/>
      <c r="D33" s="19"/>
      <c r="E33" s="19"/>
      <c r="F33" s="19"/>
      <c r="G33" s="19"/>
      <c r="H33" s="19"/>
      <c r="I33" s="19"/>
      <c r="J33" s="19"/>
      <c r="K33" s="19"/>
      <c r="L33" s="19"/>
      <c r="M33" s="19"/>
      <c r="N33" s="19"/>
      <c r="O33" s="19"/>
      <c r="P33" s="19"/>
      <c r="Q33" s="19"/>
      <c r="R33" s="19"/>
      <c r="S33" s="19"/>
      <c r="T33" s="19"/>
      <c r="U33" s="19"/>
      <c r="V33" s="19"/>
      <c r="W33" s="19"/>
      <c r="X33" s="19"/>
      <c r="Y33" s="19"/>
    </row>
    <row r="34" spans="1:25" x14ac:dyDescent="0.2">
      <c r="A34" s="19"/>
      <c r="B34" s="19"/>
      <c r="C34" s="19"/>
      <c r="D34" s="19"/>
      <c r="E34" s="19"/>
      <c r="F34" s="19"/>
      <c r="G34" s="19"/>
      <c r="H34" s="19"/>
      <c r="I34" s="19"/>
      <c r="J34" s="19"/>
      <c r="K34" s="19"/>
      <c r="L34" s="19"/>
      <c r="M34" s="19"/>
      <c r="N34" s="19"/>
      <c r="O34" s="19"/>
      <c r="P34" s="19"/>
      <c r="Q34" s="19"/>
      <c r="R34" s="19"/>
      <c r="S34" s="19"/>
      <c r="T34" s="19"/>
      <c r="U34" s="19"/>
      <c r="V34" s="19"/>
      <c r="W34" s="19"/>
      <c r="X34" s="19"/>
      <c r="Y34" s="19"/>
    </row>
    <row r="35" spans="1:25" x14ac:dyDescent="0.2">
      <c r="A35" s="19"/>
      <c r="B35" s="19"/>
      <c r="C35" s="19"/>
      <c r="D35" s="19"/>
      <c r="E35" s="19"/>
      <c r="F35" s="19"/>
      <c r="G35" s="19"/>
      <c r="H35" s="19"/>
      <c r="I35" s="19"/>
      <c r="J35" s="19"/>
      <c r="K35" s="19"/>
      <c r="L35" s="19"/>
      <c r="M35" s="19"/>
      <c r="N35" s="19"/>
      <c r="O35" s="19"/>
      <c r="P35" s="19"/>
      <c r="Q35" s="19"/>
      <c r="R35" s="19"/>
      <c r="S35" s="19"/>
      <c r="T35" s="19"/>
      <c r="U35" s="19"/>
      <c r="V35" s="19"/>
      <c r="W35" s="19"/>
      <c r="X35" s="19"/>
      <c r="Y35" s="19"/>
    </row>
    <row r="36" spans="1:25" x14ac:dyDescent="0.2">
      <c r="A36" s="19"/>
      <c r="B36" s="19"/>
      <c r="C36" s="19"/>
      <c r="D36" s="19"/>
      <c r="E36" s="19"/>
      <c r="F36" s="19"/>
      <c r="G36" s="19"/>
      <c r="H36" s="19"/>
      <c r="I36" s="19"/>
      <c r="J36" s="19"/>
      <c r="K36" s="19"/>
      <c r="L36" s="19"/>
      <c r="M36" s="19"/>
      <c r="N36" s="19"/>
      <c r="O36" s="19"/>
      <c r="P36" s="19"/>
      <c r="Q36" s="19"/>
      <c r="R36" s="19"/>
      <c r="S36" s="19"/>
      <c r="T36" s="19"/>
      <c r="U36" s="19"/>
      <c r="V36" s="19"/>
      <c r="W36" s="19"/>
      <c r="X36" s="19"/>
      <c r="Y36" s="19"/>
    </row>
    <row r="37" spans="1:25" x14ac:dyDescent="0.2">
      <c r="A37" s="19"/>
      <c r="B37" s="19"/>
      <c r="C37" s="19"/>
      <c r="D37" s="19"/>
      <c r="E37" s="19"/>
      <c r="F37" s="19"/>
      <c r="G37" s="19"/>
      <c r="H37" s="19"/>
      <c r="I37" s="19"/>
      <c r="J37" s="19"/>
      <c r="K37" s="19"/>
      <c r="L37" s="19"/>
      <c r="M37" s="19"/>
      <c r="N37" s="19"/>
      <c r="O37" s="19"/>
      <c r="P37" s="19"/>
      <c r="Q37" s="19"/>
      <c r="R37" s="19"/>
      <c r="S37" s="19"/>
      <c r="T37" s="19"/>
      <c r="U37" s="19"/>
      <c r="V37" s="19"/>
      <c r="W37" s="19"/>
      <c r="X37" s="19"/>
      <c r="Y37" s="19"/>
    </row>
    <row r="38" spans="1:25" x14ac:dyDescent="0.2">
      <c r="A38" s="19"/>
      <c r="B38" s="19"/>
      <c r="C38" s="19"/>
      <c r="D38" s="19"/>
      <c r="E38" s="19"/>
      <c r="F38" s="19"/>
      <c r="G38" s="19"/>
      <c r="H38" s="19"/>
      <c r="I38" s="19"/>
      <c r="J38" s="19"/>
      <c r="K38" s="19"/>
      <c r="L38" s="19"/>
      <c r="M38" s="19"/>
      <c r="N38" s="19"/>
      <c r="O38" s="19"/>
      <c r="P38" s="19"/>
      <c r="Q38" s="19"/>
      <c r="R38" s="19"/>
      <c r="S38" s="19"/>
      <c r="T38" s="19"/>
      <c r="U38" s="19"/>
      <c r="V38" s="19"/>
      <c r="W38" s="19"/>
      <c r="X38" s="19"/>
      <c r="Y38" s="19"/>
    </row>
    <row r="39" spans="1:25" x14ac:dyDescent="0.2">
      <c r="A39" s="19"/>
      <c r="B39" s="19"/>
      <c r="C39" s="19"/>
      <c r="D39" s="19"/>
      <c r="E39" s="19"/>
      <c r="F39" s="19"/>
      <c r="G39" s="19"/>
      <c r="H39" s="19"/>
      <c r="I39" s="19"/>
      <c r="J39" s="19"/>
      <c r="K39" s="19"/>
      <c r="L39" s="19"/>
      <c r="M39" s="19"/>
      <c r="N39" s="19"/>
      <c r="O39" s="19"/>
      <c r="P39" s="19"/>
      <c r="Q39" s="19"/>
      <c r="R39" s="19"/>
      <c r="S39" s="19"/>
      <c r="T39" s="19"/>
      <c r="U39" s="19"/>
      <c r="V39" s="19"/>
      <c r="W39" s="19"/>
      <c r="X39" s="19"/>
      <c r="Y39" s="19"/>
    </row>
    <row r="40" spans="1:25" x14ac:dyDescent="0.2">
      <c r="A40" s="19"/>
      <c r="B40" s="19"/>
      <c r="C40" s="19"/>
      <c r="D40" s="19"/>
      <c r="E40" s="19"/>
      <c r="F40" s="19"/>
      <c r="G40" s="19"/>
      <c r="H40" s="19"/>
      <c r="I40" s="19"/>
      <c r="J40" s="19"/>
      <c r="K40" s="19"/>
      <c r="L40" s="19"/>
      <c r="M40" s="19"/>
      <c r="N40" s="19"/>
      <c r="O40" s="19"/>
      <c r="P40" s="19"/>
      <c r="Q40" s="19"/>
      <c r="R40" s="19"/>
      <c r="S40" s="19"/>
      <c r="T40" s="19"/>
      <c r="U40" s="19"/>
      <c r="V40" s="19"/>
      <c r="W40" s="19"/>
      <c r="X40" s="19"/>
      <c r="Y40" s="19"/>
    </row>
    <row r="41" spans="1:25" x14ac:dyDescent="0.2">
      <c r="A41" s="19"/>
      <c r="B41" s="19"/>
      <c r="C41" s="19"/>
      <c r="D41" s="19"/>
      <c r="E41" s="19"/>
      <c r="F41" s="19"/>
      <c r="G41" s="19"/>
      <c r="H41" s="19"/>
      <c r="I41" s="19"/>
      <c r="J41" s="19"/>
      <c r="K41" s="19"/>
      <c r="L41" s="19"/>
      <c r="M41" s="19"/>
      <c r="N41" s="19"/>
      <c r="O41" s="19"/>
      <c r="P41" s="19"/>
      <c r="Q41" s="19"/>
      <c r="R41" s="19"/>
      <c r="S41" s="19"/>
      <c r="T41" s="19"/>
      <c r="U41" s="19"/>
      <c r="V41" s="19"/>
      <c r="W41" s="19"/>
      <c r="X41" s="19"/>
      <c r="Y41" s="19"/>
    </row>
    <row r="42" spans="1:25" x14ac:dyDescent="0.2">
      <c r="A42" s="19"/>
      <c r="B42" s="19"/>
      <c r="C42" s="19"/>
      <c r="D42" s="19"/>
      <c r="E42" s="19"/>
      <c r="F42" s="19"/>
      <c r="G42" s="19"/>
      <c r="H42" s="19"/>
      <c r="I42" s="19"/>
      <c r="J42" s="19"/>
      <c r="K42" s="19"/>
      <c r="L42" s="19"/>
      <c r="M42" s="19"/>
      <c r="N42" s="19"/>
      <c r="O42" s="19"/>
      <c r="P42" s="19"/>
      <c r="Q42" s="19"/>
      <c r="R42" s="19"/>
      <c r="S42" s="19"/>
      <c r="T42" s="19"/>
      <c r="U42" s="19"/>
      <c r="V42" s="19"/>
      <c r="W42" s="19"/>
      <c r="X42" s="19"/>
      <c r="Y42" s="19"/>
    </row>
    <row r="43" spans="1:25" x14ac:dyDescent="0.2">
      <c r="A43" s="19"/>
      <c r="B43" s="19"/>
      <c r="C43" s="19"/>
      <c r="D43" s="19"/>
      <c r="E43" s="19"/>
      <c r="F43" s="19"/>
      <c r="G43" s="19"/>
      <c r="H43" s="19"/>
      <c r="I43" s="19"/>
      <c r="J43" s="19"/>
      <c r="K43" s="19"/>
      <c r="L43" s="19"/>
      <c r="M43" s="19"/>
      <c r="N43" s="19"/>
      <c r="O43" s="19"/>
      <c r="P43" s="19"/>
      <c r="Q43" s="19"/>
      <c r="R43" s="19"/>
      <c r="S43" s="19"/>
      <c r="T43" s="19"/>
      <c r="U43" s="19"/>
      <c r="V43" s="19"/>
      <c r="W43" s="19"/>
      <c r="X43" s="19"/>
      <c r="Y43" s="19"/>
    </row>
    <row r="44" spans="1:25" x14ac:dyDescent="0.2">
      <c r="A44" s="19"/>
      <c r="B44" s="19"/>
      <c r="C44" s="19"/>
      <c r="D44" s="19"/>
      <c r="E44" s="19"/>
      <c r="F44" s="19"/>
      <c r="G44" s="19"/>
      <c r="H44" s="19"/>
      <c r="I44" s="19"/>
      <c r="J44" s="19"/>
      <c r="K44" s="19"/>
      <c r="L44" s="19"/>
      <c r="M44" s="19"/>
      <c r="N44" s="19"/>
      <c r="O44" s="19"/>
      <c r="P44" s="19"/>
      <c r="Q44" s="19"/>
      <c r="R44" s="19"/>
      <c r="S44" s="19"/>
      <c r="T44" s="19"/>
      <c r="U44" s="19"/>
      <c r="V44" s="19"/>
      <c r="W44" s="19"/>
      <c r="X44" s="19"/>
      <c r="Y44" s="19"/>
    </row>
    <row r="45" spans="1:25" x14ac:dyDescent="0.2">
      <c r="A45" s="19"/>
      <c r="B45" s="19"/>
      <c r="C45" s="19"/>
      <c r="D45" s="19"/>
      <c r="E45" s="19"/>
      <c r="F45" s="19"/>
      <c r="G45" s="19"/>
      <c r="H45" s="19"/>
      <c r="I45" s="19"/>
      <c r="J45" s="19"/>
      <c r="K45" s="19"/>
      <c r="L45" s="19"/>
      <c r="M45" s="19"/>
      <c r="N45" s="19"/>
      <c r="O45" s="19"/>
      <c r="P45" s="19"/>
      <c r="Q45" s="19"/>
      <c r="R45" s="19"/>
      <c r="S45" s="19"/>
      <c r="T45" s="19"/>
      <c r="U45" s="19"/>
      <c r="V45" s="19"/>
      <c r="W45" s="19"/>
      <c r="X45" s="19"/>
      <c r="Y45" s="19"/>
    </row>
    <row r="46" spans="1:25" x14ac:dyDescent="0.2">
      <c r="A46" s="19"/>
      <c r="B46" s="19"/>
      <c r="C46" s="19"/>
      <c r="D46" s="19"/>
      <c r="E46" s="19"/>
      <c r="F46" s="19"/>
      <c r="G46" s="19"/>
      <c r="H46" s="19"/>
      <c r="I46" s="19"/>
      <c r="J46" s="19"/>
      <c r="K46" s="19"/>
      <c r="L46" s="19"/>
      <c r="M46" s="19"/>
      <c r="N46" s="19"/>
      <c r="O46" s="19"/>
      <c r="P46" s="19"/>
      <c r="Q46" s="19"/>
      <c r="R46" s="19"/>
      <c r="S46" s="19"/>
      <c r="T46" s="19"/>
      <c r="U46" s="19"/>
      <c r="V46" s="19"/>
      <c r="W46" s="19"/>
      <c r="X46" s="19"/>
      <c r="Y46" s="19"/>
    </row>
    <row r="47" spans="1:25" x14ac:dyDescent="0.2">
      <c r="A47" s="19"/>
      <c r="B47" s="19"/>
      <c r="C47" s="19"/>
      <c r="D47" s="19"/>
      <c r="E47" s="19"/>
      <c r="F47" s="19"/>
      <c r="G47" s="19"/>
      <c r="H47" s="19"/>
      <c r="I47" s="19"/>
      <c r="J47" s="19"/>
      <c r="K47" s="19"/>
      <c r="L47" s="19"/>
      <c r="M47" s="19"/>
      <c r="N47" s="19"/>
      <c r="O47" s="19"/>
      <c r="P47" s="19"/>
      <c r="Q47" s="19"/>
      <c r="R47" s="19"/>
      <c r="S47" s="19"/>
      <c r="T47" s="19"/>
      <c r="U47" s="19"/>
      <c r="V47" s="19"/>
      <c r="W47" s="19"/>
      <c r="X47" s="19"/>
      <c r="Y47" s="19"/>
    </row>
    <row r="48" spans="1:25" x14ac:dyDescent="0.2">
      <c r="A48" s="19"/>
      <c r="B48" s="19"/>
      <c r="C48" s="19"/>
      <c r="D48" s="19"/>
      <c r="E48" s="19"/>
      <c r="F48" s="19"/>
      <c r="G48" s="19"/>
      <c r="H48" s="19"/>
      <c r="I48" s="19"/>
      <c r="J48" s="19"/>
      <c r="K48" s="19"/>
      <c r="L48" s="19"/>
      <c r="M48" s="19"/>
      <c r="N48" s="19"/>
      <c r="O48" s="19"/>
      <c r="P48" s="19"/>
      <c r="Q48" s="19"/>
      <c r="R48" s="19"/>
      <c r="S48" s="19"/>
      <c r="T48" s="19"/>
      <c r="U48" s="19"/>
      <c r="V48" s="19"/>
      <c r="W48" s="19"/>
      <c r="X48" s="19"/>
      <c r="Y48" s="19"/>
    </row>
    <row r="49" spans="1:25" x14ac:dyDescent="0.2">
      <c r="A49" s="19"/>
      <c r="B49" s="19"/>
      <c r="C49" s="19"/>
      <c r="D49" s="19"/>
      <c r="E49" s="19"/>
      <c r="F49" s="19"/>
      <c r="G49" s="19"/>
      <c r="H49" s="19"/>
      <c r="I49" s="19"/>
      <c r="J49" s="19"/>
      <c r="K49" s="19"/>
      <c r="L49" s="19"/>
      <c r="M49" s="19"/>
      <c r="N49" s="19"/>
      <c r="O49" s="19"/>
      <c r="P49" s="19"/>
      <c r="Q49" s="19"/>
      <c r="R49" s="19"/>
      <c r="S49" s="19"/>
      <c r="T49" s="19"/>
      <c r="U49" s="19"/>
      <c r="V49" s="19"/>
      <c r="W49" s="19"/>
      <c r="X49" s="19"/>
      <c r="Y49" s="19"/>
    </row>
    <row r="50" spans="1:25" x14ac:dyDescent="0.2">
      <c r="A50" s="19"/>
      <c r="B50" s="19"/>
      <c r="C50" s="19"/>
      <c r="D50" s="19"/>
      <c r="E50" s="19"/>
      <c r="F50" s="19"/>
      <c r="G50" s="19"/>
      <c r="H50" s="19"/>
      <c r="I50" s="19"/>
      <c r="J50" s="19"/>
      <c r="K50" s="19"/>
      <c r="L50" s="19"/>
      <c r="M50" s="19"/>
      <c r="N50" s="19"/>
      <c r="O50" s="19"/>
      <c r="P50" s="19"/>
      <c r="Q50" s="19"/>
      <c r="R50" s="19"/>
      <c r="S50" s="19"/>
      <c r="T50" s="19"/>
      <c r="U50" s="19"/>
      <c r="V50" s="19"/>
      <c r="W50" s="19"/>
      <c r="X50" s="19"/>
      <c r="Y50" s="19"/>
    </row>
    <row r="51" spans="1:25" x14ac:dyDescent="0.2">
      <c r="A51" s="19"/>
      <c r="B51" s="19"/>
      <c r="C51" s="19"/>
      <c r="D51" s="19"/>
      <c r="E51" s="19"/>
      <c r="F51" s="19"/>
      <c r="G51" s="19"/>
      <c r="H51" s="19"/>
      <c r="I51" s="19"/>
      <c r="J51" s="19"/>
      <c r="K51" s="19"/>
      <c r="L51" s="19"/>
      <c r="M51" s="19"/>
      <c r="N51" s="19"/>
      <c r="O51" s="19"/>
      <c r="P51" s="19"/>
      <c r="Q51" s="19"/>
      <c r="R51" s="19"/>
      <c r="S51" s="19"/>
      <c r="T51" s="19"/>
      <c r="U51" s="19"/>
      <c r="V51" s="19"/>
      <c r="W51" s="19"/>
      <c r="X51" s="19"/>
      <c r="Y51" s="19"/>
    </row>
    <row r="52" spans="1:25" x14ac:dyDescent="0.2">
      <c r="A52" s="19"/>
      <c r="B52" s="19"/>
      <c r="C52" s="19"/>
      <c r="D52" s="19"/>
      <c r="E52" s="19"/>
      <c r="F52" s="19"/>
      <c r="G52" s="19"/>
      <c r="H52" s="19"/>
      <c r="I52" s="19"/>
      <c r="J52" s="19"/>
      <c r="K52" s="19"/>
      <c r="L52" s="19"/>
      <c r="M52" s="19"/>
      <c r="N52" s="19"/>
      <c r="O52" s="19"/>
      <c r="P52" s="19"/>
      <c r="Q52" s="19"/>
      <c r="R52" s="19"/>
      <c r="S52" s="19"/>
      <c r="T52" s="19"/>
      <c r="U52" s="19"/>
      <c r="V52" s="19"/>
      <c r="W52" s="19"/>
      <c r="X52" s="19"/>
      <c r="Y52" s="19"/>
    </row>
    <row r="53" spans="1:25" x14ac:dyDescent="0.2">
      <c r="A53" s="19"/>
      <c r="B53" s="19"/>
      <c r="C53" s="19"/>
      <c r="D53" s="19"/>
      <c r="E53" s="19"/>
      <c r="F53" s="19"/>
      <c r="G53" s="19"/>
      <c r="H53" s="19"/>
      <c r="I53" s="19"/>
      <c r="J53" s="19"/>
      <c r="K53" s="19"/>
      <c r="L53" s="19"/>
      <c r="M53" s="19"/>
      <c r="N53" s="19"/>
      <c r="O53" s="19"/>
      <c r="P53" s="19"/>
      <c r="Q53" s="19"/>
      <c r="R53" s="19"/>
      <c r="S53" s="19"/>
      <c r="T53" s="19"/>
      <c r="U53" s="19"/>
      <c r="V53" s="19"/>
      <c r="W53" s="19"/>
      <c r="X53" s="19"/>
      <c r="Y53" s="19"/>
    </row>
    <row r="54" spans="1:25" x14ac:dyDescent="0.2">
      <c r="A54" s="19"/>
      <c r="B54" s="19"/>
      <c r="C54" s="19"/>
      <c r="D54" s="19"/>
      <c r="E54" s="19"/>
      <c r="F54" s="19"/>
      <c r="G54" s="19"/>
      <c r="H54" s="19"/>
      <c r="I54" s="19"/>
      <c r="J54" s="19"/>
      <c r="K54" s="19"/>
      <c r="L54" s="19"/>
      <c r="M54" s="19"/>
      <c r="N54" s="19"/>
      <c r="O54" s="19"/>
      <c r="P54" s="19"/>
      <c r="Q54" s="19"/>
      <c r="R54" s="19"/>
      <c r="S54" s="19"/>
      <c r="T54" s="19"/>
      <c r="U54" s="19"/>
      <c r="V54" s="19"/>
      <c r="W54" s="19"/>
      <c r="X54" s="19"/>
      <c r="Y54" s="19"/>
    </row>
    <row r="55" spans="1:25" x14ac:dyDescent="0.2">
      <c r="A55" s="19"/>
      <c r="B55" s="19"/>
      <c r="C55" s="19"/>
      <c r="D55" s="19"/>
      <c r="E55" s="19"/>
      <c r="F55" s="19"/>
      <c r="G55" s="19"/>
      <c r="H55" s="19"/>
      <c r="I55" s="19"/>
      <c r="J55" s="19"/>
      <c r="K55" s="19"/>
      <c r="L55" s="19"/>
      <c r="M55" s="19"/>
      <c r="N55" s="19"/>
      <c r="O55" s="19"/>
      <c r="P55" s="19"/>
      <c r="Q55" s="19"/>
      <c r="R55" s="19"/>
      <c r="S55" s="19"/>
      <c r="T55" s="19"/>
      <c r="U55" s="19"/>
      <c r="V55" s="19"/>
      <c r="W55" s="19"/>
      <c r="X55" s="19"/>
      <c r="Y55" s="19"/>
    </row>
    <row r="56" spans="1:25" x14ac:dyDescent="0.2">
      <c r="A56" s="19"/>
      <c r="B56" s="19"/>
      <c r="C56" s="19"/>
      <c r="D56" s="19"/>
      <c r="E56" s="19"/>
      <c r="F56" s="19"/>
      <c r="G56" s="19"/>
      <c r="H56" s="19"/>
      <c r="I56" s="19"/>
      <c r="J56" s="19"/>
      <c r="K56" s="19"/>
      <c r="L56" s="19"/>
      <c r="M56" s="19"/>
      <c r="N56" s="19"/>
      <c r="O56" s="19"/>
      <c r="P56" s="19"/>
      <c r="Q56" s="19"/>
      <c r="R56" s="19"/>
      <c r="S56" s="19"/>
      <c r="T56" s="19"/>
      <c r="U56" s="19"/>
      <c r="V56" s="19"/>
      <c r="W56" s="19"/>
      <c r="X56" s="19"/>
      <c r="Y56" s="19"/>
    </row>
    <row r="57" spans="1:25" x14ac:dyDescent="0.2">
      <c r="A57" s="19"/>
      <c r="B57" s="19"/>
      <c r="C57" s="19"/>
      <c r="D57" s="19"/>
      <c r="E57" s="19"/>
      <c r="F57" s="19"/>
      <c r="G57" s="19"/>
      <c r="H57" s="19"/>
      <c r="I57" s="19"/>
      <c r="J57" s="19"/>
      <c r="K57" s="19"/>
      <c r="L57" s="19"/>
      <c r="M57" s="19"/>
      <c r="N57" s="19"/>
      <c r="O57" s="19"/>
      <c r="P57" s="19"/>
      <c r="Q57" s="19"/>
      <c r="R57" s="19"/>
      <c r="S57" s="19"/>
      <c r="T57" s="19"/>
      <c r="U57" s="19"/>
      <c r="V57" s="19"/>
      <c r="W57" s="19"/>
      <c r="X57" s="19"/>
      <c r="Y57" s="19"/>
    </row>
    <row r="58" spans="1:25" x14ac:dyDescent="0.2">
      <c r="A58" s="19"/>
      <c r="B58" s="19"/>
      <c r="C58" s="19"/>
      <c r="D58" s="19"/>
      <c r="E58" s="19"/>
      <c r="F58" s="19"/>
      <c r="G58" s="19"/>
      <c r="H58" s="19"/>
      <c r="I58" s="19"/>
      <c r="J58" s="19"/>
      <c r="K58" s="19"/>
      <c r="L58" s="19"/>
      <c r="M58" s="19"/>
      <c r="N58" s="19"/>
      <c r="O58" s="19"/>
      <c r="P58" s="19"/>
      <c r="Q58" s="19"/>
      <c r="R58" s="19"/>
      <c r="S58" s="19"/>
      <c r="T58" s="19"/>
      <c r="U58" s="19"/>
      <c r="V58" s="19"/>
      <c r="W58" s="19"/>
      <c r="X58" s="19"/>
      <c r="Y58" s="19"/>
    </row>
    <row r="59" spans="1:25" x14ac:dyDescent="0.2">
      <c r="A59" s="19"/>
      <c r="B59" s="19"/>
      <c r="C59" s="19"/>
      <c r="D59" s="19"/>
      <c r="E59" s="19"/>
      <c r="F59" s="19"/>
      <c r="G59" s="19"/>
      <c r="H59" s="19"/>
      <c r="I59" s="19"/>
      <c r="J59" s="19"/>
      <c r="K59" s="19"/>
      <c r="L59" s="19"/>
      <c r="M59" s="19"/>
      <c r="N59" s="19"/>
      <c r="O59" s="19"/>
      <c r="P59" s="19"/>
      <c r="Q59" s="19"/>
      <c r="R59" s="19"/>
      <c r="S59" s="19"/>
      <c r="T59" s="19"/>
      <c r="U59" s="19"/>
      <c r="V59" s="19"/>
      <c r="W59" s="19"/>
      <c r="X59" s="19"/>
      <c r="Y59" s="19"/>
    </row>
    <row r="60" spans="1:25" x14ac:dyDescent="0.2">
      <c r="A60" s="19"/>
      <c r="B60" s="19"/>
      <c r="C60" s="19"/>
      <c r="D60" s="19"/>
      <c r="E60" s="19"/>
      <c r="F60" s="19"/>
      <c r="G60" s="19"/>
      <c r="H60" s="19"/>
      <c r="I60" s="19"/>
      <c r="J60" s="19"/>
      <c r="K60" s="19"/>
      <c r="L60" s="19"/>
      <c r="M60" s="19"/>
      <c r="N60" s="19"/>
      <c r="O60" s="19"/>
      <c r="P60" s="19"/>
      <c r="Q60" s="19"/>
      <c r="R60" s="19"/>
      <c r="S60" s="19"/>
      <c r="T60" s="19"/>
      <c r="U60" s="19"/>
      <c r="V60" s="19"/>
      <c r="W60" s="19"/>
      <c r="X60" s="19"/>
      <c r="Y60" s="19"/>
    </row>
    <row r="61" spans="1:25" x14ac:dyDescent="0.2">
      <c r="A61" s="19"/>
      <c r="B61" s="19"/>
      <c r="C61" s="19"/>
      <c r="D61" s="19"/>
      <c r="E61" s="19"/>
      <c r="F61" s="19"/>
      <c r="G61" s="19"/>
      <c r="H61" s="19"/>
      <c r="I61" s="19"/>
      <c r="J61" s="19"/>
      <c r="K61" s="19"/>
      <c r="L61" s="19"/>
      <c r="M61" s="19"/>
      <c r="N61" s="19"/>
      <c r="O61" s="19"/>
      <c r="P61" s="19"/>
      <c r="Q61" s="19"/>
      <c r="R61" s="19"/>
      <c r="S61" s="19"/>
      <c r="T61" s="19"/>
      <c r="U61" s="19"/>
      <c r="V61" s="19"/>
      <c r="W61" s="19"/>
      <c r="X61" s="19"/>
      <c r="Y61" s="19"/>
    </row>
    <row r="62" spans="1:25" x14ac:dyDescent="0.2">
      <c r="A62" s="19"/>
      <c r="B62" s="19"/>
      <c r="C62" s="19"/>
      <c r="D62" s="19"/>
      <c r="E62" s="19"/>
      <c r="F62" s="19"/>
      <c r="G62" s="19"/>
      <c r="H62" s="19"/>
      <c r="I62" s="19"/>
      <c r="J62" s="19"/>
      <c r="K62" s="19"/>
      <c r="L62" s="19"/>
      <c r="M62" s="19"/>
      <c r="N62" s="19"/>
      <c r="O62" s="19"/>
      <c r="P62" s="19"/>
      <c r="Q62" s="19"/>
      <c r="R62" s="19"/>
      <c r="S62" s="19"/>
      <c r="T62" s="19"/>
      <c r="U62" s="19"/>
      <c r="V62" s="19"/>
      <c r="W62" s="19"/>
      <c r="X62" s="19"/>
      <c r="Y62" s="19"/>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Data Validation</vt:lpstr>
      <vt:lpstr>Transactions - Formulas</vt:lpstr>
      <vt:lpstr>Transactions - Values</vt:lpstr>
      <vt:lpstr>Analysis - Pivot Charts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elizabethkaeber@gmail.com</cp:lastModifiedBy>
  <dcterms:created xsi:type="dcterms:W3CDTF">2023-09-22T16:04:34Z</dcterms:created>
  <dcterms:modified xsi:type="dcterms:W3CDTF">2023-09-29T17:18:37Z</dcterms:modified>
</cp:coreProperties>
</file>